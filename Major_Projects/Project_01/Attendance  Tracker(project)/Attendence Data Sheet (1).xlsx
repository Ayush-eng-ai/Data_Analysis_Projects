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drawings/drawing12.xml" ContentType="application/vnd.openxmlformats-officedocument.drawing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FF Campuse Learning\Data Analysis project\Data_Analysis_projects\Major_Projects\Project_01\Attendance  Tracker(project)\"/>
    </mc:Choice>
  </mc:AlternateContent>
  <xr:revisionPtr revIDLastSave="0" documentId="13_ncr:1_{EBCA3E32-9CDB-4656-A7AA-E905EC4C2D43}" xr6:coauthVersionLast="47" xr6:coauthVersionMax="47" xr10:uidLastSave="{00000000-0000-0000-0000-000000000000}"/>
  <bookViews>
    <workbookView xWindow="-108" yWindow="-108" windowWidth="23256" windowHeight="12456" firstSheet="1" activeTab="4" xr2:uid="{8F4D4D0C-2654-44A7-A42F-E186F1F5BBB7}"/>
  </bookViews>
  <sheets>
    <sheet name="Mini Data" sheetId="1" r:id="rId1"/>
    <sheet name="January" sheetId="2" r:id="rId2"/>
    <sheet name="February" sheetId="26" r:id="rId3"/>
    <sheet name="March" sheetId="27" r:id="rId4"/>
    <sheet name="April" sheetId="28" r:id="rId5"/>
    <sheet name="May" sheetId="29" r:id="rId6"/>
    <sheet name="June" sheetId="30" r:id="rId7"/>
    <sheet name="July" sheetId="31" r:id="rId8"/>
    <sheet name="August" sheetId="32" r:id="rId9"/>
    <sheet name="September" sheetId="33" r:id="rId10"/>
    <sheet name="October" sheetId="34" r:id="rId11"/>
    <sheet name="November" sheetId="35" r:id="rId12"/>
    <sheet name="December" sheetId="36" r:id="rId13"/>
    <sheet name="Rough" sheetId="3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W11" i="2" l="1"/>
  <c r="AU9" i="30"/>
  <c r="E5" i="26"/>
  <c r="AS26" i="26" s="1"/>
  <c r="I28" i="26"/>
  <c r="K28" i="26"/>
  <c r="R28" i="26"/>
  <c r="Y28" i="26"/>
  <c r="AF28" i="26"/>
  <c r="AL28" i="26"/>
  <c r="AM28" i="26"/>
  <c r="AN28" i="26"/>
  <c r="J5" i="26"/>
  <c r="H5" i="26" s="1"/>
  <c r="J8" i="26"/>
  <c r="J7" i="26" s="1"/>
  <c r="BA28" i="34"/>
  <c r="BA27" i="34"/>
  <c r="AS27" i="34"/>
  <c r="BA26" i="34"/>
  <c r="BA25" i="34"/>
  <c r="AS25" i="34"/>
  <c r="BA24" i="34"/>
  <c r="AS24" i="34"/>
  <c r="BA23" i="34"/>
  <c r="AS23" i="34"/>
  <c r="BA22" i="34"/>
  <c r="BA21" i="34"/>
  <c r="AS21" i="34"/>
  <c r="BA20" i="34"/>
  <c r="AS20" i="34"/>
  <c r="BA19" i="34"/>
  <c r="BA18" i="34"/>
  <c r="AS18" i="34"/>
  <c r="BA17" i="34"/>
  <c r="BA16" i="34"/>
  <c r="AS16" i="34"/>
  <c r="BA15" i="34"/>
  <c r="AS15" i="34"/>
  <c r="BA14" i="34"/>
  <c r="BA13" i="34"/>
  <c r="AS13" i="34"/>
  <c r="BA12" i="34"/>
  <c r="BA11" i="34"/>
  <c r="BA10" i="34"/>
  <c r="AS10" i="34"/>
  <c r="BA9" i="34"/>
  <c r="AS9" i="34"/>
  <c r="J8" i="34"/>
  <c r="J7" i="34"/>
  <c r="J5" i="34"/>
  <c r="H5" i="34" s="1"/>
  <c r="AY12" i="34" s="1"/>
  <c r="E5" i="34"/>
  <c r="AS26" i="34" s="1"/>
  <c r="BA28" i="36"/>
  <c r="BA27" i="36"/>
  <c r="BA26" i="36"/>
  <c r="BA25" i="36"/>
  <c r="BA24" i="36"/>
  <c r="AS24" i="36"/>
  <c r="BA23" i="36"/>
  <c r="BA22" i="36"/>
  <c r="BA21" i="36"/>
  <c r="BA20" i="36"/>
  <c r="BA19" i="36"/>
  <c r="BA18" i="36"/>
  <c r="AS18" i="36"/>
  <c r="BA17" i="36"/>
  <c r="BA16" i="36"/>
  <c r="BA15" i="36"/>
  <c r="BA14" i="36"/>
  <c r="BA13" i="36"/>
  <c r="BA12" i="36"/>
  <c r="BA11" i="36"/>
  <c r="AS11" i="36"/>
  <c r="BA10" i="36"/>
  <c r="BA9" i="36"/>
  <c r="J8" i="36"/>
  <c r="J7" i="36"/>
  <c r="J5" i="36"/>
  <c r="K8" i="36" s="1"/>
  <c r="L8" i="36" s="1"/>
  <c r="M8" i="36" s="1"/>
  <c r="H5" i="36"/>
  <c r="AY22" i="36" s="1"/>
  <c r="E5" i="36"/>
  <c r="AS26" i="36" s="1"/>
  <c r="BA28" i="35"/>
  <c r="BA27" i="35"/>
  <c r="BA26" i="35"/>
  <c r="BA25" i="35"/>
  <c r="BA24" i="35"/>
  <c r="BA23" i="35"/>
  <c r="BA22" i="35"/>
  <c r="BA21" i="35"/>
  <c r="BA20" i="35"/>
  <c r="BA19" i="35"/>
  <c r="BA18" i="35"/>
  <c r="BA17" i="35"/>
  <c r="BA16" i="35"/>
  <c r="BA15" i="35"/>
  <c r="BA14" i="35"/>
  <c r="BA13" i="35"/>
  <c r="BA12" i="35"/>
  <c r="BA11" i="35"/>
  <c r="BA10" i="35"/>
  <c r="BA9" i="35"/>
  <c r="J8" i="35"/>
  <c r="J7" i="35"/>
  <c r="J5" i="35"/>
  <c r="H5" i="35" s="1"/>
  <c r="AY18" i="35" s="1"/>
  <c r="E5" i="35"/>
  <c r="AS26" i="35" s="1"/>
  <c r="BA28" i="33"/>
  <c r="BA27" i="33"/>
  <c r="BA26" i="33"/>
  <c r="BA25" i="33"/>
  <c r="BA24" i="33"/>
  <c r="AY24" i="33"/>
  <c r="BA23" i="33"/>
  <c r="BA22" i="33"/>
  <c r="BA21" i="33"/>
  <c r="BA20" i="33"/>
  <c r="BA19" i="33"/>
  <c r="BA18" i="33"/>
  <c r="AS18" i="33"/>
  <c r="BA17" i="33"/>
  <c r="BA16" i="33"/>
  <c r="BA15" i="33"/>
  <c r="BA14" i="33"/>
  <c r="BA13" i="33"/>
  <c r="BA12" i="33"/>
  <c r="AS12" i="33"/>
  <c r="BA11" i="33"/>
  <c r="AS11" i="33"/>
  <c r="BA10" i="33"/>
  <c r="BA9" i="33"/>
  <c r="J8" i="33"/>
  <c r="J7" i="33"/>
  <c r="J5" i="33"/>
  <c r="H5" i="33"/>
  <c r="AY21" i="33" s="1"/>
  <c r="E5" i="33"/>
  <c r="AS26" i="33" s="1"/>
  <c r="BA28" i="32"/>
  <c r="AS28" i="32"/>
  <c r="BA27" i="32"/>
  <c r="BA26" i="32"/>
  <c r="BA25" i="32"/>
  <c r="BA24" i="32"/>
  <c r="BA23" i="32"/>
  <c r="AS23" i="32"/>
  <c r="BA22" i="32"/>
  <c r="BA21" i="32"/>
  <c r="AS21" i="32"/>
  <c r="BA20" i="32"/>
  <c r="AS20" i="32"/>
  <c r="BA19" i="32"/>
  <c r="BA18" i="32"/>
  <c r="BA17" i="32"/>
  <c r="AS17" i="32"/>
  <c r="BA16" i="32"/>
  <c r="AS16" i="32"/>
  <c r="BA15" i="32"/>
  <c r="AS15" i="32"/>
  <c r="BA14" i="32"/>
  <c r="BA13" i="32"/>
  <c r="BA12" i="32"/>
  <c r="BA11" i="32"/>
  <c r="AS11" i="32"/>
  <c r="BA10" i="32"/>
  <c r="BA9" i="32"/>
  <c r="AS9" i="32"/>
  <c r="J8" i="32"/>
  <c r="J7" i="32"/>
  <c r="J5" i="32"/>
  <c r="H5" i="32" s="1"/>
  <c r="E5" i="32"/>
  <c r="AS26" i="32" s="1"/>
  <c r="BA28" i="31"/>
  <c r="BA27" i="31"/>
  <c r="BA26" i="31"/>
  <c r="BA25" i="31"/>
  <c r="AS25" i="31"/>
  <c r="BA24" i="31"/>
  <c r="BA23" i="31"/>
  <c r="AS23" i="31"/>
  <c r="BA22" i="31"/>
  <c r="BA21" i="31"/>
  <c r="BA20" i="31"/>
  <c r="BA19" i="31"/>
  <c r="BA18" i="31"/>
  <c r="AS18" i="31"/>
  <c r="BA17" i="31"/>
  <c r="BA16" i="31"/>
  <c r="AS16" i="31"/>
  <c r="BA15" i="31"/>
  <c r="BA14" i="31"/>
  <c r="BA13" i="31"/>
  <c r="BA12" i="31"/>
  <c r="BA11" i="31"/>
  <c r="AS11" i="31"/>
  <c r="BA10" i="31"/>
  <c r="BA9" i="31"/>
  <c r="AS9" i="31"/>
  <c r="J8" i="31"/>
  <c r="J7" i="31"/>
  <c r="J5" i="31"/>
  <c r="H5" i="31" s="1"/>
  <c r="E5" i="31"/>
  <c r="AS26" i="31" s="1"/>
  <c r="BA28" i="30"/>
  <c r="BA27" i="30"/>
  <c r="BA26" i="30"/>
  <c r="J26" i="30"/>
  <c r="BA25" i="30"/>
  <c r="AS25" i="30"/>
  <c r="BA24" i="30"/>
  <c r="BA23" i="30"/>
  <c r="AS23" i="30"/>
  <c r="BA22" i="30"/>
  <c r="BA21" i="30"/>
  <c r="BA20" i="30"/>
  <c r="BA19" i="30"/>
  <c r="AY19" i="30"/>
  <c r="BA18" i="30"/>
  <c r="AS18" i="30"/>
  <c r="BA17" i="30"/>
  <c r="BA16" i="30"/>
  <c r="BA15" i="30"/>
  <c r="BA14" i="30"/>
  <c r="BA13" i="30"/>
  <c r="BA12" i="30"/>
  <c r="BA11" i="30"/>
  <c r="AS11" i="30"/>
  <c r="BA10" i="30"/>
  <c r="BA9" i="30"/>
  <c r="J8" i="30"/>
  <c r="J7" i="30"/>
  <c r="J22" i="30" s="1"/>
  <c r="J5" i="30"/>
  <c r="H5" i="30"/>
  <c r="AY21" i="30" s="1"/>
  <c r="E5" i="30"/>
  <c r="AS26" i="30" s="1"/>
  <c r="BA28" i="29"/>
  <c r="BA27" i="29"/>
  <c r="AS27" i="29"/>
  <c r="BA26" i="29"/>
  <c r="BA25" i="29"/>
  <c r="BA24" i="29"/>
  <c r="BA23" i="29"/>
  <c r="BA22" i="29"/>
  <c r="BA21" i="29"/>
  <c r="BA20" i="29"/>
  <c r="AS20" i="29"/>
  <c r="BA19" i="29"/>
  <c r="BA18" i="29"/>
  <c r="BA17" i="29"/>
  <c r="BA16" i="29"/>
  <c r="BA15" i="29"/>
  <c r="BA14" i="29"/>
  <c r="BA13" i="29"/>
  <c r="BA12" i="29"/>
  <c r="BA11" i="29"/>
  <c r="BA10" i="29"/>
  <c r="BA9" i="29"/>
  <c r="J8" i="29"/>
  <c r="J7" i="29"/>
  <c r="J5" i="29"/>
  <c r="K8" i="29" s="1"/>
  <c r="H5" i="29"/>
  <c r="AY10" i="29" s="1"/>
  <c r="E5" i="29"/>
  <c r="AS26" i="29" s="1"/>
  <c r="BA28" i="28"/>
  <c r="BA27" i="28"/>
  <c r="AS27" i="28"/>
  <c r="BA26" i="28"/>
  <c r="BA25" i="28"/>
  <c r="BA24" i="28"/>
  <c r="AY24" i="28"/>
  <c r="BA23" i="28"/>
  <c r="BA22" i="28"/>
  <c r="BA21" i="28"/>
  <c r="BA20" i="28"/>
  <c r="AS20" i="28"/>
  <c r="BA19" i="28"/>
  <c r="AY19" i="28"/>
  <c r="BA18" i="28"/>
  <c r="AS18" i="28"/>
  <c r="BA17" i="28"/>
  <c r="BA16" i="28"/>
  <c r="BA15" i="28"/>
  <c r="BA14" i="28"/>
  <c r="BA13" i="28"/>
  <c r="BA12" i="28"/>
  <c r="AY12" i="28"/>
  <c r="BA11" i="28"/>
  <c r="AS11" i="28"/>
  <c r="BA10" i="28"/>
  <c r="BA9" i="28"/>
  <c r="J8" i="28"/>
  <c r="J7" i="28" s="1"/>
  <c r="J5" i="28"/>
  <c r="H5" i="28"/>
  <c r="AY22" i="28" s="1"/>
  <c r="E5" i="28"/>
  <c r="AS26" i="28" s="1"/>
  <c r="BA28" i="27"/>
  <c r="AS28" i="27"/>
  <c r="BA27" i="27"/>
  <c r="BA26" i="27"/>
  <c r="BA25" i="27"/>
  <c r="AS25" i="27"/>
  <c r="BA24" i="27"/>
  <c r="BA23" i="27"/>
  <c r="AS23" i="27"/>
  <c r="BA22" i="27"/>
  <c r="AS22" i="27"/>
  <c r="BA21" i="27"/>
  <c r="AS21" i="27"/>
  <c r="BA20" i="27"/>
  <c r="BA19" i="27"/>
  <c r="BA18" i="27"/>
  <c r="AS18" i="27"/>
  <c r="BA17" i="27"/>
  <c r="AS17" i="27"/>
  <c r="BA16" i="27"/>
  <c r="AS16" i="27"/>
  <c r="BA15" i="27"/>
  <c r="AS15" i="27"/>
  <c r="BA14" i="27"/>
  <c r="BA13" i="27"/>
  <c r="BA12" i="27"/>
  <c r="BA11" i="27"/>
  <c r="AS11" i="27"/>
  <c r="BA10" i="27"/>
  <c r="AS10" i="27"/>
  <c r="BA9" i="27"/>
  <c r="AS9" i="27"/>
  <c r="J8" i="27"/>
  <c r="J5" i="27"/>
  <c r="H5" i="27" s="1"/>
  <c r="E5" i="27"/>
  <c r="AS26" i="27" s="1"/>
  <c r="BA28" i="26"/>
  <c r="BA27" i="26"/>
  <c r="BA26" i="26"/>
  <c r="BA25" i="26"/>
  <c r="BA24" i="26"/>
  <c r="BA23" i="26"/>
  <c r="BA22" i="26"/>
  <c r="BA21" i="26"/>
  <c r="BA20" i="26"/>
  <c r="BA19" i="26"/>
  <c r="BA18" i="26"/>
  <c r="BA17" i="26"/>
  <c r="BA16" i="26"/>
  <c r="BA15" i="26"/>
  <c r="BA14" i="26"/>
  <c r="BA13" i="26"/>
  <c r="BA12" i="26"/>
  <c r="BA11" i="26"/>
  <c r="BA10" i="26"/>
  <c r="BA9" i="26"/>
  <c r="E5" i="2"/>
  <c r="AS11" i="2" s="1"/>
  <c r="BA10" i="2"/>
  <c r="BA11" i="2"/>
  <c r="BA12" i="2"/>
  <c r="BA13" i="2"/>
  <c r="BA14" i="2"/>
  <c r="BA15" i="2"/>
  <c r="BA16" i="2"/>
  <c r="BA17" i="2"/>
  <c r="BA18" i="2"/>
  <c r="BA19" i="2"/>
  <c r="BA20" i="2"/>
  <c r="BA21" i="2"/>
  <c r="BA22" i="2"/>
  <c r="BA23" i="2"/>
  <c r="BA24" i="2"/>
  <c r="BA25" i="2"/>
  <c r="BA26" i="2"/>
  <c r="BA27" i="2"/>
  <c r="BA28" i="2"/>
  <c r="BA9" i="2"/>
  <c r="J5" i="2"/>
  <c r="H5" i="2" s="1"/>
  <c r="J8" i="2"/>
  <c r="J7" i="2" s="1"/>
  <c r="AS12" i="36" l="1"/>
  <c r="AS21" i="36"/>
  <c r="AS9" i="36"/>
  <c r="AS27" i="36"/>
  <c r="AS16" i="36"/>
  <c r="AS22" i="36"/>
  <c r="AS20" i="36"/>
  <c r="K7" i="36"/>
  <c r="AS15" i="36"/>
  <c r="AS10" i="36"/>
  <c r="AS28" i="36"/>
  <c r="AS19" i="36"/>
  <c r="AS13" i="36"/>
  <c r="AS25" i="36"/>
  <c r="AS23" i="36"/>
  <c r="AS21" i="35"/>
  <c r="AS15" i="35"/>
  <c r="AS22" i="35"/>
  <c r="AS9" i="35"/>
  <c r="AS23" i="35"/>
  <c r="AS10" i="35"/>
  <c r="AS11" i="35"/>
  <c r="AS28" i="35"/>
  <c r="AS16" i="35"/>
  <c r="AS12" i="35"/>
  <c r="AS27" i="35"/>
  <c r="K8" i="35"/>
  <c r="L8" i="35" s="1"/>
  <c r="AS17" i="35"/>
  <c r="AS20" i="35"/>
  <c r="AS11" i="34"/>
  <c r="AS22" i="34"/>
  <c r="AS28" i="34"/>
  <c r="AS12" i="34"/>
  <c r="AS17" i="34"/>
  <c r="AS13" i="33"/>
  <c r="AS21" i="33"/>
  <c r="AS9" i="33"/>
  <c r="AS16" i="33"/>
  <c r="AS22" i="33"/>
  <c r="AS25" i="33"/>
  <c r="AS27" i="33"/>
  <c r="AS15" i="33"/>
  <c r="AS10" i="33"/>
  <c r="AS20" i="33"/>
  <c r="AS28" i="33"/>
  <c r="AS17" i="33"/>
  <c r="AS23" i="33"/>
  <c r="AS18" i="32"/>
  <c r="AS25" i="32"/>
  <c r="AS13" i="32"/>
  <c r="K8" i="32"/>
  <c r="AY26" i="31"/>
  <c r="AY10" i="31"/>
  <c r="AY22" i="31"/>
  <c r="AS20" i="31"/>
  <c r="AS28" i="31"/>
  <c r="AS13" i="31"/>
  <c r="AS21" i="31"/>
  <c r="AS13" i="30"/>
  <c r="AS20" i="30"/>
  <c r="AY14" i="30"/>
  <c r="AS28" i="30"/>
  <c r="J9" i="30"/>
  <c r="AS12" i="30"/>
  <c r="AS21" i="30"/>
  <c r="AS9" i="30"/>
  <c r="AS16" i="30"/>
  <c r="AS28" i="29"/>
  <c r="AS15" i="29"/>
  <c r="AS21" i="29"/>
  <c r="AS16" i="29"/>
  <c r="AS9" i="29"/>
  <c r="AS28" i="28"/>
  <c r="AS15" i="28"/>
  <c r="AS16" i="28"/>
  <c r="AS23" i="28"/>
  <c r="AS21" i="28"/>
  <c r="AS9" i="28"/>
  <c r="K8" i="27"/>
  <c r="J7" i="27"/>
  <c r="AS13" i="27"/>
  <c r="AS20" i="27"/>
  <c r="AS27" i="27"/>
  <c r="K8" i="26"/>
  <c r="AS13" i="26"/>
  <c r="AS17" i="26"/>
  <c r="AS9" i="26"/>
  <c r="AY27" i="34"/>
  <c r="AY15" i="34"/>
  <c r="AY20" i="34"/>
  <c r="AY25" i="34"/>
  <c r="AY13" i="34"/>
  <c r="AY16" i="34"/>
  <c r="AY23" i="34"/>
  <c r="AY9" i="34"/>
  <c r="AY28" i="34"/>
  <c r="AY26" i="34"/>
  <c r="AY21" i="34"/>
  <c r="AY18" i="34"/>
  <c r="AY24" i="34"/>
  <c r="AY10" i="34"/>
  <c r="AY17" i="34"/>
  <c r="AY14" i="34"/>
  <c r="AY11" i="34"/>
  <c r="AY19" i="34"/>
  <c r="AY22" i="34"/>
  <c r="K8" i="34"/>
  <c r="AS19" i="34"/>
  <c r="AS14" i="34"/>
  <c r="N8" i="36"/>
  <c r="M7" i="36"/>
  <c r="AY11" i="36"/>
  <c r="AY10" i="36"/>
  <c r="AY26" i="36"/>
  <c r="L7" i="36"/>
  <c r="AY9" i="36"/>
  <c r="AY27" i="36"/>
  <c r="AY15" i="36"/>
  <c r="AY20" i="36"/>
  <c r="AY18" i="36"/>
  <c r="AY25" i="36"/>
  <c r="AY24" i="36"/>
  <c r="AY21" i="36"/>
  <c r="AY17" i="36"/>
  <c r="AY28" i="36"/>
  <c r="AY19" i="36"/>
  <c r="AY12" i="36"/>
  <c r="AY23" i="36"/>
  <c r="AY13" i="36"/>
  <c r="AY16" i="36"/>
  <c r="AY14" i="36"/>
  <c r="AS17" i="36"/>
  <c r="AS14" i="36"/>
  <c r="AY27" i="35"/>
  <c r="AY15" i="35"/>
  <c r="AY20" i="35"/>
  <c r="AY25" i="35"/>
  <c r="AY26" i="35"/>
  <c r="AY14" i="35"/>
  <c r="AY19" i="35"/>
  <c r="AY24" i="35"/>
  <c r="AY10" i="35"/>
  <c r="AY23" i="35"/>
  <c r="AY9" i="35"/>
  <c r="AY28" i="35"/>
  <c r="AY17" i="35"/>
  <c r="AY12" i="35"/>
  <c r="AY22" i="35"/>
  <c r="AY16" i="35"/>
  <c r="AY13" i="35"/>
  <c r="AY21" i="35"/>
  <c r="AY11" i="35"/>
  <c r="AS18" i="35"/>
  <c r="AS13" i="35"/>
  <c r="AS25" i="35"/>
  <c r="AS24" i="35"/>
  <c r="AS19" i="35"/>
  <c r="AS14" i="35"/>
  <c r="AY27" i="33"/>
  <c r="AY15" i="33"/>
  <c r="AY20" i="33"/>
  <c r="AY25" i="33"/>
  <c r="AY13" i="33"/>
  <c r="AY26" i="33"/>
  <c r="AY28" i="33"/>
  <c r="AY22" i="33"/>
  <c r="AY19" i="33"/>
  <c r="AY12" i="33"/>
  <c r="AY16" i="33"/>
  <c r="AY23" i="33"/>
  <c r="AY9" i="33"/>
  <c r="AY10" i="33"/>
  <c r="AY11" i="33"/>
  <c r="AY18" i="33"/>
  <c r="AY17" i="33"/>
  <c r="AY14" i="33"/>
  <c r="K8" i="33"/>
  <c r="AS24" i="33"/>
  <c r="AS19" i="33"/>
  <c r="AS14" i="33"/>
  <c r="AY27" i="32"/>
  <c r="AY15" i="32"/>
  <c r="AY20" i="32"/>
  <c r="AY25" i="32"/>
  <c r="AY13" i="32"/>
  <c r="AY23" i="32"/>
  <c r="AY11" i="32"/>
  <c r="AY28" i="32"/>
  <c r="AY21" i="32"/>
  <c r="AY16" i="32"/>
  <c r="AY9" i="32"/>
  <c r="AY18" i="32"/>
  <c r="AY26" i="32"/>
  <c r="AY17" i="32"/>
  <c r="AY10" i="32"/>
  <c r="AY24" i="32"/>
  <c r="AY19" i="32"/>
  <c r="AY12" i="32"/>
  <c r="AY14" i="32"/>
  <c r="AY22" i="32"/>
  <c r="L8" i="32"/>
  <c r="K7" i="32"/>
  <c r="AS27" i="32"/>
  <c r="AS10" i="32"/>
  <c r="AS22" i="32"/>
  <c r="AS12" i="32"/>
  <c r="AS24" i="32"/>
  <c r="AS19" i="32"/>
  <c r="AS14" i="32"/>
  <c r="K8" i="31"/>
  <c r="AY9" i="31"/>
  <c r="AY21" i="31"/>
  <c r="AY14" i="31"/>
  <c r="AY19" i="31"/>
  <c r="AY24" i="31"/>
  <c r="AY12" i="31"/>
  <c r="AY27" i="31"/>
  <c r="AY15" i="31"/>
  <c r="AY20" i="31"/>
  <c r="AY25" i="31"/>
  <c r="AY13" i="31"/>
  <c r="AY18" i="31"/>
  <c r="AY23" i="31"/>
  <c r="AY11" i="31"/>
  <c r="AY28" i="31"/>
  <c r="AY16" i="31"/>
  <c r="AY17" i="31"/>
  <c r="AS15" i="31"/>
  <c r="AS27" i="31"/>
  <c r="AS10" i="31"/>
  <c r="AS22" i="31"/>
  <c r="AS17" i="31"/>
  <c r="AS12" i="31"/>
  <c r="AS24" i="31"/>
  <c r="AS19" i="31"/>
  <c r="AS14" i="31"/>
  <c r="J14" i="30"/>
  <c r="AY22" i="30"/>
  <c r="AY10" i="30"/>
  <c r="J27" i="30"/>
  <c r="J15" i="30"/>
  <c r="J20" i="30"/>
  <c r="J25" i="30"/>
  <c r="J13" i="30"/>
  <c r="J18" i="30"/>
  <c r="J23" i="30"/>
  <c r="J11" i="30"/>
  <c r="J28" i="30"/>
  <c r="J16" i="30"/>
  <c r="AY17" i="30"/>
  <c r="AY26" i="30"/>
  <c r="J12" i="30"/>
  <c r="J19" i="30"/>
  <c r="AY12" i="30"/>
  <c r="K8" i="30"/>
  <c r="AY9" i="30"/>
  <c r="J24" i="30"/>
  <c r="AY24" i="30"/>
  <c r="AY27" i="30"/>
  <c r="AY15" i="30"/>
  <c r="AY20" i="30"/>
  <c r="AY25" i="30"/>
  <c r="AY13" i="30"/>
  <c r="AY18" i="30"/>
  <c r="AY23" i="30"/>
  <c r="AY11" i="30"/>
  <c r="AY28" i="30"/>
  <c r="AY16" i="30"/>
  <c r="J21" i="30"/>
  <c r="J10" i="30"/>
  <c r="J17" i="30"/>
  <c r="AS15" i="30"/>
  <c r="AS27" i="30"/>
  <c r="AS10" i="30"/>
  <c r="AS22" i="30"/>
  <c r="AS17" i="30"/>
  <c r="AS24" i="30"/>
  <c r="AS19" i="30"/>
  <c r="AS14" i="30"/>
  <c r="AY27" i="29"/>
  <c r="AY15" i="29"/>
  <c r="AY20" i="29"/>
  <c r="AY25" i="29"/>
  <c r="AY13" i="29"/>
  <c r="AY18" i="29"/>
  <c r="AY23" i="29"/>
  <c r="AY11" i="29"/>
  <c r="AY28" i="29"/>
  <c r="AY26" i="29"/>
  <c r="AY14" i="29"/>
  <c r="AY19" i="29"/>
  <c r="AY24" i="29"/>
  <c r="AY12" i="29"/>
  <c r="AY17" i="29"/>
  <c r="L8" i="29"/>
  <c r="K7" i="29"/>
  <c r="AY9" i="29"/>
  <c r="AY16" i="29"/>
  <c r="AY22" i="29"/>
  <c r="AY21" i="29"/>
  <c r="AS11" i="29"/>
  <c r="AS23" i="29"/>
  <c r="AS18" i="29"/>
  <c r="AS13" i="29"/>
  <c r="AS25" i="29"/>
  <c r="AS10" i="29"/>
  <c r="AS22" i="29"/>
  <c r="AS17" i="29"/>
  <c r="AS12" i="29"/>
  <c r="AS24" i="29"/>
  <c r="AS19" i="29"/>
  <c r="AS14" i="29"/>
  <c r="AY10" i="28"/>
  <c r="AY27" i="28"/>
  <c r="AY15" i="28"/>
  <c r="AY20" i="28"/>
  <c r="AY25" i="28"/>
  <c r="AY13" i="28"/>
  <c r="AY18" i="28"/>
  <c r="AY23" i="28"/>
  <c r="AY11" i="28"/>
  <c r="AY26" i="28"/>
  <c r="AY14" i="28"/>
  <c r="AY16" i="28"/>
  <c r="AY9" i="28"/>
  <c r="AY21" i="28"/>
  <c r="K8" i="28"/>
  <c r="AY28" i="28"/>
  <c r="AY17" i="28"/>
  <c r="AS13" i="28"/>
  <c r="AS25" i="28"/>
  <c r="AS10" i="28"/>
  <c r="AS22" i="28"/>
  <c r="AS17" i="28"/>
  <c r="AS12" i="28"/>
  <c r="AS24" i="28"/>
  <c r="AS19" i="28"/>
  <c r="AS14" i="28"/>
  <c r="AY27" i="27"/>
  <c r="AY15" i="27"/>
  <c r="AY20" i="27"/>
  <c r="AY25" i="27"/>
  <c r="AY13" i="27"/>
  <c r="AY26" i="27"/>
  <c r="AY24" i="27"/>
  <c r="AY17" i="27"/>
  <c r="AY14" i="27"/>
  <c r="AY10" i="27"/>
  <c r="AY28" i="27"/>
  <c r="AY21" i="27"/>
  <c r="AY19" i="27"/>
  <c r="AY18" i="27"/>
  <c r="AY11" i="27"/>
  <c r="AY22" i="27"/>
  <c r="AY12" i="27"/>
  <c r="AY16" i="27"/>
  <c r="AY23" i="27"/>
  <c r="AY9" i="27"/>
  <c r="AS12" i="27"/>
  <c r="AS24" i="27"/>
  <c r="AS19" i="27"/>
  <c r="AS14" i="27"/>
  <c r="K7" i="26"/>
  <c r="L8" i="26"/>
  <c r="AY25" i="26"/>
  <c r="AY13" i="26"/>
  <c r="AY28" i="26"/>
  <c r="AY26" i="26"/>
  <c r="AY19" i="26"/>
  <c r="AY24" i="26"/>
  <c r="AY12" i="26"/>
  <c r="AY22" i="26"/>
  <c r="AY11" i="26"/>
  <c r="AY15" i="26"/>
  <c r="AY21" i="26"/>
  <c r="AY17" i="26"/>
  <c r="AY10" i="26"/>
  <c r="AY20" i="26"/>
  <c r="AY27" i="26"/>
  <c r="AY18" i="26"/>
  <c r="AY9" i="26"/>
  <c r="AY16" i="26"/>
  <c r="AY23" i="26"/>
  <c r="AY14" i="26"/>
  <c r="AS19" i="26"/>
  <c r="AS20" i="26"/>
  <c r="AS27" i="26"/>
  <c r="AS22" i="26"/>
  <c r="AS15" i="26"/>
  <c r="AS14" i="26"/>
  <c r="AS10" i="26"/>
  <c r="AS16" i="26"/>
  <c r="AS24" i="26"/>
  <c r="AS12" i="26"/>
  <c r="AS25" i="26"/>
  <c r="AS18" i="26"/>
  <c r="AS23" i="26"/>
  <c r="AS11" i="26"/>
  <c r="AS28" i="26"/>
  <c r="AS21" i="26"/>
  <c r="AS9" i="2"/>
  <c r="AS17" i="2"/>
  <c r="AS15" i="2"/>
  <c r="AS26" i="2"/>
  <c r="AS14" i="2"/>
  <c r="AS22" i="2"/>
  <c r="AS10" i="2"/>
  <c r="AS21" i="2"/>
  <c r="AS20" i="2"/>
  <c r="AS19" i="2"/>
  <c r="AS18" i="2"/>
  <c r="AS28" i="2"/>
  <c r="AS27" i="2"/>
  <c r="AS25" i="2"/>
  <c r="AS13" i="2"/>
  <c r="AS16" i="2"/>
  <c r="AS24" i="2"/>
  <c r="AS12" i="2"/>
  <c r="AS23" i="2"/>
  <c r="K8" i="2"/>
  <c r="L8" i="2" s="1"/>
  <c r="K7" i="35" l="1"/>
  <c r="K9" i="35" s="1"/>
  <c r="L8" i="27"/>
  <c r="K7" i="27"/>
  <c r="K17" i="26"/>
  <c r="K9" i="26"/>
  <c r="K12" i="26"/>
  <c r="K15" i="26"/>
  <c r="K18" i="26"/>
  <c r="K21" i="26"/>
  <c r="K24" i="26"/>
  <c r="K27" i="26"/>
  <c r="K11" i="26"/>
  <c r="K23" i="26"/>
  <c r="K14" i="26"/>
  <c r="K20" i="26"/>
  <c r="K10" i="26"/>
  <c r="K13" i="26"/>
  <c r="K16" i="26"/>
  <c r="K19" i="26"/>
  <c r="K22" i="26"/>
  <c r="K25" i="26"/>
  <c r="K26" i="26"/>
  <c r="L8" i="34"/>
  <c r="K7" i="34"/>
  <c r="O8" i="36"/>
  <c r="N7" i="36"/>
  <c r="L7" i="35"/>
  <c r="M8" i="35"/>
  <c r="K20" i="35"/>
  <c r="K25" i="35"/>
  <c r="K13" i="35"/>
  <c r="K18" i="35"/>
  <c r="K19" i="35"/>
  <c r="K24" i="35"/>
  <c r="K12" i="35"/>
  <c r="K10" i="35"/>
  <c r="K27" i="35"/>
  <c r="K26" i="35"/>
  <c r="K22" i="35"/>
  <c r="K21" i="35"/>
  <c r="K14" i="35"/>
  <c r="K16" i="35"/>
  <c r="K28" i="35"/>
  <c r="K11" i="35"/>
  <c r="K15" i="35"/>
  <c r="L8" i="33"/>
  <c r="K7" i="33"/>
  <c r="L7" i="32"/>
  <c r="M8" i="32"/>
  <c r="L8" i="31"/>
  <c r="K7" i="31"/>
  <c r="L8" i="30"/>
  <c r="K7" i="30"/>
  <c r="L7" i="29"/>
  <c r="M8" i="29"/>
  <c r="L8" i="28"/>
  <c r="K7" i="28"/>
  <c r="M8" i="26"/>
  <c r="L7" i="26"/>
  <c r="K7" i="2"/>
  <c r="AY10" i="2"/>
  <c r="AY22" i="2"/>
  <c r="AY23" i="2"/>
  <c r="AY12" i="2"/>
  <c r="AY24" i="2"/>
  <c r="AY13" i="2"/>
  <c r="AY25" i="2"/>
  <c r="AY14" i="2"/>
  <c r="AY15" i="2"/>
  <c r="AY27" i="2"/>
  <c r="AY16" i="2"/>
  <c r="AY28" i="2"/>
  <c r="AY17" i="2"/>
  <c r="AY9" i="2"/>
  <c r="AY11" i="2"/>
  <c r="AY18" i="2"/>
  <c r="AY19" i="2"/>
  <c r="AY26" i="2"/>
  <c r="AY20" i="2"/>
  <c r="AY21" i="2"/>
  <c r="M8" i="2"/>
  <c r="L7" i="2"/>
  <c r="K17" i="35" l="1"/>
  <c r="K23" i="35"/>
  <c r="L7" i="27"/>
  <c r="M8" i="27"/>
  <c r="K10" i="27"/>
  <c r="K16" i="27"/>
  <c r="K22" i="27"/>
  <c r="K9" i="27"/>
  <c r="K12" i="27"/>
  <c r="K15" i="27"/>
  <c r="K18" i="27"/>
  <c r="K21" i="27"/>
  <c r="K24" i="27"/>
  <c r="K27" i="27"/>
  <c r="K13" i="27"/>
  <c r="K19" i="27"/>
  <c r="K25" i="27"/>
  <c r="K28" i="27"/>
  <c r="K20" i="27"/>
  <c r="K14" i="27"/>
  <c r="K11" i="27"/>
  <c r="K17" i="27"/>
  <c r="K23" i="27"/>
  <c r="K26" i="27"/>
  <c r="M8" i="34"/>
  <c r="L7" i="34"/>
  <c r="P8" i="36"/>
  <c r="O7" i="36"/>
  <c r="N8" i="35"/>
  <c r="M7" i="35"/>
  <c r="L7" i="33"/>
  <c r="M8" i="33"/>
  <c r="M7" i="32"/>
  <c r="N8" i="32"/>
  <c r="L25" i="32"/>
  <c r="L13" i="32"/>
  <c r="L18" i="32"/>
  <c r="L23" i="32"/>
  <c r="L11" i="32"/>
  <c r="L28" i="32"/>
  <c r="L21" i="32"/>
  <c r="L9" i="32"/>
  <c r="L26" i="32"/>
  <c r="L16" i="32"/>
  <c r="L10" i="32"/>
  <c r="L20" i="32"/>
  <c r="L15" i="32"/>
  <c r="L24" i="32"/>
  <c r="L17" i="32"/>
  <c r="L27" i="32"/>
  <c r="L22" i="32"/>
  <c r="L12" i="32"/>
  <c r="L19" i="32"/>
  <c r="L14" i="32"/>
  <c r="L7" i="31"/>
  <c r="M8" i="31"/>
  <c r="M8" i="30"/>
  <c r="L7" i="30"/>
  <c r="N8" i="29"/>
  <c r="M7" i="29"/>
  <c r="L7" i="28"/>
  <c r="M8" i="28"/>
  <c r="N8" i="26"/>
  <c r="M7" i="26"/>
  <c r="N8" i="2"/>
  <c r="M7" i="2"/>
  <c r="N8" i="27" l="1"/>
  <c r="M7" i="27"/>
  <c r="N8" i="34"/>
  <c r="M7" i="34"/>
  <c r="P7" i="36"/>
  <c r="Q8" i="36"/>
  <c r="N7" i="35"/>
  <c r="O8" i="35"/>
  <c r="N8" i="33"/>
  <c r="M7" i="33"/>
  <c r="N7" i="32"/>
  <c r="O8" i="32"/>
  <c r="N8" i="31"/>
  <c r="M7" i="31"/>
  <c r="N8" i="30"/>
  <c r="M7" i="30"/>
  <c r="M18" i="29"/>
  <c r="M23" i="29"/>
  <c r="M11" i="29"/>
  <c r="M28" i="29"/>
  <c r="M16" i="29"/>
  <c r="M21" i="29"/>
  <c r="M9" i="29"/>
  <c r="M26" i="29"/>
  <c r="M14" i="29"/>
  <c r="M17" i="29"/>
  <c r="M22" i="29"/>
  <c r="M10" i="29"/>
  <c r="M27" i="29"/>
  <c r="M15" i="29"/>
  <c r="M20" i="29"/>
  <c r="M12" i="29"/>
  <c r="M19" i="29"/>
  <c r="M25" i="29"/>
  <c r="M24" i="29"/>
  <c r="M13" i="29"/>
  <c r="O8" i="29"/>
  <c r="N7" i="29"/>
  <c r="M7" i="28"/>
  <c r="N8" i="28"/>
  <c r="O8" i="26"/>
  <c r="N7" i="26"/>
  <c r="O8" i="2"/>
  <c r="N7" i="2"/>
  <c r="O8" i="27" l="1"/>
  <c r="N7" i="27"/>
  <c r="N14" i="2"/>
  <c r="N17" i="2"/>
  <c r="N20" i="2"/>
  <c r="N23" i="2"/>
  <c r="N26" i="2"/>
  <c r="N9" i="2"/>
  <c r="N13" i="2"/>
  <c r="N11" i="2"/>
  <c r="N22" i="2"/>
  <c r="N25" i="2"/>
  <c r="N16" i="2"/>
  <c r="N15" i="2"/>
  <c r="N21" i="2"/>
  <c r="N24" i="2"/>
  <c r="N19" i="2"/>
  <c r="N28" i="2"/>
  <c r="N12" i="2"/>
  <c r="N18" i="2"/>
  <c r="N27" i="2"/>
  <c r="N10" i="2"/>
  <c r="O8" i="34"/>
  <c r="N7" i="34"/>
  <c r="P21" i="36"/>
  <c r="P9" i="36"/>
  <c r="P26" i="36"/>
  <c r="P24" i="36"/>
  <c r="P12" i="36"/>
  <c r="P28" i="36"/>
  <c r="P25" i="36"/>
  <c r="P22" i="36"/>
  <c r="P18" i="36"/>
  <c r="P17" i="36"/>
  <c r="P10" i="36"/>
  <c r="P15" i="36"/>
  <c r="P11" i="36"/>
  <c r="P23" i="36"/>
  <c r="P27" i="36"/>
  <c r="P20" i="36"/>
  <c r="P16" i="36"/>
  <c r="P13" i="36"/>
  <c r="P14" i="36"/>
  <c r="P19" i="36"/>
  <c r="Q7" i="36"/>
  <c r="R8" i="36"/>
  <c r="P8" i="35"/>
  <c r="O7" i="35"/>
  <c r="O8" i="33"/>
  <c r="N7" i="33"/>
  <c r="O7" i="32"/>
  <c r="P8" i="32"/>
  <c r="N7" i="31"/>
  <c r="O8" i="31"/>
  <c r="N7" i="30"/>
  <c r="O8" i="30"/>
  <c r="O7" i="29"/>
  <c r="P8" i="29"/>
  <c r="N7" i="28"/>
  <c r="O8" i="28"/>
  <c r="P8" i="26"/>
  <c r="O7" i="26"/>
  <c r="P8" i="2"/>
  <c r="O7" i="2"/>
  <c r="P8" i="27" l="1"/>
  <c r="O7" i="27"/>
  <c r="N23" i="34"/>
  <c r="N11" i="34"/>
  <c r="N26" i="34"/>
  <c r="N28" i="34"/>
  <c r="N16" i="34"/>
  <c r="N21" i="34"/>
  <c r="N9" i="34"/>
  <c r="N27" i="34"/>
  <c r="N20" i="34"/>
  <c r="N13" i="34"/>
  <c r="N24" i="34"/>
  <c r="N17" i="34"/>
  <c r="N14" i="34"/>
  <c r="N10" i="34"/>
  <c r="N15" i="34"/>
  <c r="N22" i="34"/>
  <c r="N12" i="34"/>
  <c r="N19" i="34"/>
  <c r="N18" i="34"/>
  <c r="N25" i="34"/>
  <c r="P8" i="34"/>
  <c r="O7" i="34"/>
  <c r="R7" i="36"/>
  <c r="S8" i="36"/>
  <c r="Q8" i="35"/>
  <c r="P7" i="35"/>
  <c r="P8" i="33"/>
  <c r="O7" i="33"/>
  <c r="Q8" i="32"/>
  <c r="P7" i="32"/>
  <c r="O7" i="31"/>
  <c r="P8" i="31"/>
  <c r="O7" i="30"/>
  <c r="P8" i="30"/>
  <c r="P7" i="29"/>
  <c r="Q8" i="29"/>
  <c r="O7" i="28"/>
  <c r="P8" i="28"/>
  <c r="Q8" i="26"/>
  <c r="P7" i="26"/>
  <c r="Q8" i="2"/>
  <c r="P7" i="2"/>
  <c r="O10" i="28" l="1"/>
  <c r="O13" i="28"/>
  <c r="O16" i="28"/>
  <c r="O19" i="28"/>
  <c r="O22" i="28"/>
  <c r="O25" i="28"/>
  <c r="O28" i="28"/>
  <c r="O14" i="28"/>
  <c r="O20" i="28"/>
  <c r="O26" i="28"/>
  <c r="O11" i="28"/>
  <c r="O17" i="28"/>
  <c r="O23" i="28"/>
  <c r="O12" i="28"/>
  <c r="O15" i="28"/>
  <c r="O27" i="28"/>
  <c r="O18" i="28"/>
  <c r="O21" i="28"/>
  <c r="O9" i="28"/>
  <c r="O24" i="28"/>
  <c r="P7" i="27"/>
  <c r="Q8" i="27"/>
  <c r="Q8" i="34"/>
  <c r="P7" i="34"/>
  <c r="S7" i="36"/>
  <c r="T8" i="36"/>
  <c r="Q7" i="35"/>
  <c r="R8" i="35"/>
  <c r="Q8" i="33"/>
  <c r="P7" i="33"/>
  <c r="Q7" i="32"/>
  <c r="R8" i="32"/>
  <c r="P7" i="31"/>
  <c r="Q8" i="31"/>
  <c r="O28" i="31"/>
  <c r="O16" i="31"/>
  <c r="O21" i="31"/>
  <c r="O9" i="31"/>
  <c r="O26" i="31"/>
  <c r="O14" i="31"/>
  <c r="O19" i="31"/>
  <c r="O24" i="31"/>
  <c r="O12" i="31"/>
  <c r="O17" i="31"/>
  <c r="O22" i="31"/>
  <c r="O10" i="31"/>
  <c r="O20" i="31"/>
  <c r="O25" i="31"/>
  <c r="O23" i="31"/>
  <c r="O11" i="31"/>
  <c r="O18" i="31"/>
  <c r="O27" i="31"/>
  <c r="O13" i="31"/>
  <c r="O15" i="31"/>
  <c r="P7" i="30"/>
  <c r="Q8" i="30"/>
  <c r="Q7" i="29"/>
  <c r="R8" i="29"/>
  <c r="P7" i="28"/>
  <c r="Q8" i="28"/>
  <c r="Q7" i="26"/>
  <c r="R8" i="26"/>
  <c r="R8" i="2"/>
  <c r="Q7" i="2"/>
  <c r="Q7" i="27" l="1"/>
  <c r="R8" i="27"/>
  <c r="Q7" i="34"/>
  <c r="R8" i="34"/>
  <c r="U8" i="36"/>
  <c r="T7" i="36"/>
  <c r="R7" i="35"/>
  <c r="S8" i="35"/>
  <c r="P21" i="33"/>
  <c r="P9" i="33"/>
  <c r="P26" i="33"/>
  <c r="P14" i="33"/>
  <c r="P24" i="33"/>
  <c r="P19" i="33"/>
  <c r="P28" i="33"/>
  <c r="P12" i="33"/>
  <c r="P25" i="33"/>
  <c r="P10" i="33"/>
  <c r="P27" i="33"/>
  <c r="P16" i="33"/>
  <c r="P23" i="33"/>
  <c r="P20" i="33"/>
  <c r="P13" i="33"/>
  <c r="P17" i="33"/>
  <c r="P11" i="33"/>
  <c r="P22" i="33"/>
  <c r="P18" i="33"/>
  <c r="P15" i="33"/>
  <c r="Q7" i="33"/>
  <c r="R8" i="33"/>
  <c r="R7" i="32"/>
  <c r="S8" i="32"/>
  <c r="Q7" i="31"/>
  <c r="R8" i="31"/>
  <c r="Q7" i="30"/>
  <c r="R8" i="30"/>
  <c r="R7" i="29"/>
  <c r="S8" i="29"/>
  <c r="Q7" i="28"/>
  <c r="R8" i="28"/>
  <c r="S8" i="26"/>
  <c r="R7" i="26"/>
  <c r="S8" i="2"/>
  <c r="R7" i="2"/>
  <c r="R7" i="27" l="1"/>
  <c r="S8" i="27"/>
  <c r="R14" i="26"/>
  <c r="R20" i="26"/>
  <c r="R26" i="26"/>
  <c r="R12" i="26"/>
  <c r="R24" i="26"/>
  <c r="R11" i="26"/>
  <c r="R23" i="26"/>
  <c r="R10" i="26"/>
  <c r="R13" i="26"/>
  <c r="R16" i="26"/>
  <c r="R19" i="26"/>
  <c r="R22" i="26"/>
  <c r="R25" i="26"/>
  <c r="R15" i="26"/>
  <c r="R17" i="26"/>
  <c r="R9" i="26"/>
  <c r="R21" i="26"/>
  <c r="R18" i="26"/>
  <c r="R27" i="26"/>
  <c r="R7" i="34"/>
  <c r="S8" i="34"/>
  <c r="U7" i="36"/>
  <c r="V8" i="36"/>
  <c r="S7" i="35"/>
  <c r="T8" i="35"/>
  <c r="R19" i="35"/>
  <c r="R24" i="35"/>
  <c r="R12" i="35"/>
  <c r="R18" i="35"/>
  <c r="R28" i="35"/>
  <c r="R23" i="35"/>
  <c r="R11" i="35"/>
  <c r="R21" i="35"/>
  <c r="R9" i="35"/>
  <c r="R27" i="35"/>
  <c r="R20" i="35"/>
  <c r="R16" i="35"/>
  <c r="R13" i="35"/>
  <c r="R25" i="35"/>
  <c r="R15" i="35"/>
  <c r="R22" i="35"/>
  <c r="R10" i="35"/>
  <c r="R17" i="35"/>
  <c r="R14" i="35"/>
  <c r="R26" i="35"/>
  <c r="R7" i="33"/>
  <c r="S8" i="33"/>
  <c r="S7" i="32"/>
  <c r="T8" i="32"/>
  <c r="R7" i="31"/>
  <c r="S8" i="31"/>
  <c r="Q26" i="30"/>
  <c r="Q14" i="30"/>
  <c r="Q19" i="30"/>
  <c r="Q24" i="30"/>
  <c r="Q12" i="30"/>
  <c r="Q17" i="30"/>
  <c r="Q22" i="30"/>
  <c r="Q10" i="30"/>
  <c r="Q27" i="30"/>
  <c r="Q15" i="30"/>
  <c r="Q13" i="30"/>
  <c r="Q16" i="30"/>
  <c r="Q25" i="30"/>
  <c r="Q20" i="30"/>
  <c r="Q9" i="30"/>
  <c r="Q11" i="30"/>
  <c r="Q21" i="30"/>
  <c r="Q23" i="30"/>
  <c r="Q18" i="30"/>
  <c r="Q28" i="30"/>
  <c r="R7" i="30"/>
  <c r="S8" i="30"/>
  <c r="S7" i="29"/>
  <c r="T8" i="29"/>
  <c r="R7" i="28"/>
  <c r="S8" i="28"/>
  <c r="T8" i="26"/>
  <c r="S7" i="26"/>
  <c r="T8" i="2"/>
  <c r="S7" i="2"/>
  <c r="S7" i="27" l="1"/>
  <c r="T8" i="27"/>
  <c r="R10" i="27"/>
  <c r="R13" i="27"/>
  <c r="R16" i="27"/>
  <c r="R19" i="27"/>
  <c r="R22" i="27"/>
  <c r="R25" i="27"/>
  <c r="R28" i="27"/>
  <c r="R23" i="27"/>
  <c r="R12" i="27"/>
  <c r="R24" i="27"/>
  <c r="R14" i="27"/>
  <c r="R20" i="27"/>
  <c r="R26" i="27"/>
  <c r="R15" i="27"/>
  <c r="R27" i="27"/>
  <c r="R11" i="27"/>
  <c r="R21" i="27"/>
  <c r="R9" i="27"/>
  <c r="R17" i="27"/>
  <c r="R18" i="27"/>
  <c r="S7" i="34"/>
  <c r="T8" i="34"/>
  <c r="V7" i="36"/>
  <c r="W8" i="36"/>
  <c r="T7" i="35"/>
  <c r="U8" i="35"/>
  <c r="S7" i="33"/>
  <c r="T8" i="33"/>
  <c r="U8" i="32"/>
  <c r="T7" i="32"/>
  <c r="S24" i="32"/>
  <c r="S12" i="32"/>
  <c r="S17" i="32"/>
  <c r="S22" i="32"/>
  <c r="S10" i="32"/>
  <c r="S27" i="32"/>
  <c r="S20" i="32"/>
  <c r="S26" i="32"/>
  <c r="S15" i="32"/>
  <c r="S19" i="32"/>
  <c r="S14" i="32"/>
  <c r="S28" i="32"/>
  <c r="S21" i="32"/>
  <c r="S16" i="32"/>
  <c r="S9" i="32"/>
  <c r="S25" i="32"/>
  <c r="S18" i="32"/>
  <c r="S23" i="32"/>
  <c r="S13" i="32"/>
  <c r="S11" i="32"/>
  <c r="S7" i="31"/>
  <c r="T8" i="31"/>
  <c r="S7" i="30"/>
  <c r="T8" i="30"/>
  <c r="U8" i="29"/>
  <c r="T7" i="29"/>
  <c r="S7" i="28"/>
  <c r="T8" i="28"/>
  <c r="U8" i="26"/>
  <c r="T7" i="26"/>
  <c r="U8" i="2"/>
  <c r="T7" i="2"/>
  <c r="U8" i="27" l="1"/>
  <c r="T7" i="27"/>
  <c r="U8" i="34"/>
  <c r="T7" i="34"/>
  <c r="X8" i="36"/>
  <c r="W7" i="36"/>
  <c r="V8" i="35"/>
  <c r="U7" i="35"/>
  <c r="T7" i="33"/>
  <c r="U8" i="33"/>
  <c r="V8" i="32"/>
  <c r="U7" i="32"/>
  <c r="U8" i="31"/>
  <c r="T7" i="31"/>
  <c r="U8" i="30"/>
  <c r="T7" i="30"/>
  <c r="V8" i="29"/>
  <c r="U7" i="29"/>
  <c r="T17" i="29"/>
  <c r="T22" i="29"/>
  <c r="T10" i="29"/>
  <c r="T27" i="29"/>
  <c r="T15" i="29"/>
  <c r="T20" i="29"/>
  <c r="T25" i="29"/>
  <c r="T13" i="29"/>
  <c r="T28" i="29"/>
  <c r="T16" i="29"/>
  <c r="T21" i="29"/>
  <c r="T9" i="29"/>
  <c r="T26" i="29"/>
  <c r="T14" i="29"/>
  <c r="T19" i="29"/>
  <c r="T11" i="29"/>
  <c r="T18" i="29"/>
  <c r="T12" i="29"/>
  <c r="T23" i="29"/>
  <c r="T24" i="29"/>
  <c r="U8" i="28"/>
  <c r="T7" i="28"/>
  <c r="V8" i="26"/>
  <c r="U7" i="26"/>
  <c r="V8" i="2"/>
  <c r="U7" i="2"/>
  <c r="V8" i="27" l="1"/>
  <c r="U7" i="27"/>
  <c r="U24" i="2"/>
  <c r="U11" i="2"/>
  <c r="U14" i="2"/>
  <c r="U17" i="2"/>
  <c r="U23" i="2"/>
  <c r="U26" i="2"/>
  <c r="U9" i="2"/>
  <c r="U22" i="2"/>
  <c r="U10" i="2"/>
  <c r="U19" i="2"/>
  <c r="U25" i="2"/>
  <c r="U20" i="2"/>
  <c r="U15" i="2"/>
  <c r="U21" i="2"/>
  <c r="U27" i="2"/>
  <c r="U13" i="2"/>
  <c r="U16" i="2"/>
  <c r="U28" i="2"/>
  <c r="U12" i="2"/>
  <c r="U18" i="2"/>
  <c r="V8" i="34"/>
  <c r="U7" i="34"/>
  <c r="W20" i="36"/>
  <c r="W25" i="36"/>
  <c r="W23" i="36"/>
  <c r="W11" i="36"/>
  <c r="W22" i="36"/>
  <c r="W26" i="36"/>
  <c r="W19" i="36"/>
  <c r="W15" i="36"/>
  <c r="W16" i="36"/>
  <c r="W14" i="36"/>
  <c r="W9" i="36"/>
  <c r="W13" i="36"/>
  <c r="W27" i="36"/>
  <c r="W18" i="36"/>
  <c r="W24" i="36"/>
  <c r="W10" i="36"/>
  <c r="W17" i="36"/>
  <c r="W28" i="36"/>
  <c r="W21" i="36"/>
  <c r="W12" i="36"/>
  <c r="X7" i="36"/>
  <c r="Y8" i="36"/>
  <c r="W8" i="35"/>
  <c r="V7" i="35"/>
  <c r="V8" i="33"/>
  <c r="U7" i="33"/>
  <c r="W8" i="32"/>
  <c r="V7" i="32"/>
  <c r="V8" i="31"/>
  <c r="U7" i="31"/>
  <c r="V8" i="30"/>
  <c r="U7" i="30"/>
  <c r="W8" i="29"/>
  <c r="V7" i="29"/>
  <c r="V8" i="28"/>
  <c r="U7" i="28"/>
  <c r="V7" i="26"/>
  <c r="W8" i="26"/>
  <c r="W8" i="2"/>
  <c r="V7" i="2"/>
  <c r="W8" i="27" l="1"/>
  <c r="V7" i="27"/>
  <c r="U22" i="34"/>
  <c r="U10" i="34"/>
  <c r="U27" i="34"/>
  <c r="U15" i="34"/>
  <c r="U20" i="34"/>
  <c r="U24" i="34"/>
  <c r="U17" i="34"/>
  <c r="U14" i="34"/>
  <c r="U25" i="34"/>
  <c r="U21" i="34"/>
  <c r="U26" i="34"/>
  <c r="U18" i="34"/>
  <c r="U11" i="34"/>
  <c r="U19" i="34"/>
  <c r="U16" i="34"/>
  <c r="U13" i="34"/>
  <c r="U28" i="34"/>
  <c r="U9" i="34"/>
  <c r="U12" i="34"/>
  <c r="U23" i="34"/>
  <c r="W8" i="34"/>
  <c r="V7" i="34"/>
  <c r="Z8" i="36"/>
  <c r="Y7" i="36"/>
  <c r="X8" i="35"/>
  <c r="W7" i="35"/>
  <c r="W8" i="33"/>
  <c r="V7" i="33"/>
  <c r="X8" i="32"/>
  <c r="W7" i="32"/>
  <c r="W8" i="31"/>
  <c r="V7" i="31"/>
  <c r="W8" i="30"/>
  <c r="V7" i="30"/>
  <c r="X8" i="29"/>
  <c r="W7" i="29"/>
  <c r="W8" i="28"/>
  <c r="V7" i="28"/>
  <c r="W7" i="26"/>
  <c r="X8" i="26"/>
  <c r="X8" i="2"/>
  <c r="W7" i="2"/>
  <c r="V11" i="28" l="1"/>
  <c r="V14" i="28"/>
  <c r="V17" i="28"/>
  <c r="V20" i="28"/>
  <c r="V23" i="28"/>
  <c r="V26" i="28"/>
  <c r="V24" i="28"/>
  <c r="V12" i="28"/>
  <c r="V18" i="28"/>
  <c r="V27" i="28"/>
  <c r="V9" i="28"/>
  <c r="V15" i="28"/>
  <c r="V21" i="28"/>
  <c r="V28" i="28"/>
  <c r="V10" i="28"/>
  <c r="V22" i="28"/>
  <c r="V16" i="28"/>
  <c r="V25" i="28"/>
  <c r="V19" i="28"/>
  <c r="V13" i="28"/>
  <c r="W7" i="27"/>
  <c r="X8" i="27"/>
  <c r="X8" i="34"/>
  <c r="W7" i="34"/>
  <c r="AA8" i="36"/>
  <c r="Z7" i="36"/>
  <c r="X7" i="35"/>
  <c r="Y8" i="35"/>
  <c r="X8" i="33"/>
  <c r="W7" i="33"/>
  <c r="Y8" i="32"/>
  <c r="X7" i="32"/>
  <c r="X8" i="31"/>
  <c r="W7" i="31"/>
  <c r="V27" i="31"/>
  <c r="V15" i="31"/>
  <c r="V20" i="31"/>
  <c r="V25" i="31"/>
  <c r="V13" i="31"/>
  <c r="V18" i="31"/>
  <c r="V23" i="31"/>
  <c r="V11" i="31"/>
  <c r="V28" i="31"/>
  <c r="V16" i="31"/>
  <c r="V17" i="31"/>
  <c r="V24" i="31"/>
  <c r="V12" i="31"/>
  <c r="V19" i="31"/>
  <c r="V22" i="31"/>
  <c r="V14" i="31"/>
  <c r="V21" i="31"/>
  <c r="V9" i="31"/>
  <c r="V26" i="31"/>
  <c r="V10" i="31"/>
  <c r="X8" i="30"/>
  <c r="W7" i="30"/>
  <c r="X7" i="29"/>
  <c r="Y8" i="29"/>
  <c r="X8" i="28"/>
  <c r="W7" i="28"/>
  <c r="Y8" i="26"/>
  <c r="X7" i="26"/>
  <c r="Y8" i="2"/>
  <c r="X7" i="2"/>
  <c r="X7" i="27" l="1"/>
  <c r="Y8" i="27"/>
  <c r="X7" i="34"/>
  <c r="Y8" i="34"/>
  <c r="AB8" i="36"/>
  <c r="AA7" i="36"/>
  <c r="Y7" i="35"/>
  <c r="Z8" i="35"/>
  <c r="W20" i="33"/>
  <c r="W25" i="33"/>
  <c r="W13" i="33"/>
  <c r="W18" i="33"/>
  <c r="W27" i="33"/>
  <c r="W17" i="33"/>
  <c r="W14" i="33"/>
  <c r="W24" i="33"/>
  <c r="W21" i="33"/>
  <c r="W10" i="33"/>
  <c r="W26" i="33"/>
  <c r="W15" i="33"/>
  <c r="W22" i="33"/>
  <c r="W11" i="33"/>
  <c r="W28" i="33"/>
  <c r="W19" i="33"/>
  <c r="W12" i="33"/>
  <c r="W9" i="33"/>
  <c r="W23" i="33"/>
  <c r="W16" i="33"/>
  <c r="X7" i="33"/>
  <c r="Y8" i="33"/>
  <c r="Z8" i="32"/>
  <c r="Y7" i="32"/>
  <c r="Y8" i="31"/>
  <c r="X7" i="31"/>
  <c r="X7" i="30"/>
  <c r="Y8" i="30"/>
  <c r="Z8" i="29"/>
  <c r="Y7" i="29"/>
  <c r="X7" i="28"/>
  <c r="Y8" i="28"/>
  <c r="Y7" i="26"/>
  <c r="Z8" i="26"/>
  <c r="Z8" i="2"/>
  <c r="Y7" i="2"/>
  <c r="Z8" i="27" l="1"/>
  <c r="Y7" i="27"/>
  <c r="Y15" i="26"/>
  <c r="Y24" i="26"/>
  <c r="Y16" i="26"/>
  <c r="Y25" i="26"/>
  <c r="Y12" i="26"/>
  <c r="Y27" i="26"/>
  <c r="Y11" i="26"/>
  <c r="Y14" i="26"/>
  <c r="Y17" i="26"/>
  <c r="Y20" i="26"/>
  <c r="Y23" i="26"/>
  <c r="Y26" i="26"/>
  <c r="Y18" i="26"/>
  <c r="Y10" i="26"/>
  <c r="Y22" i="26"/>
  <c r="Y9" i="26"/>
  <c r="Y21" i="26"/>
  <c r="Y13" i="26"/>
  <c r="Y19" i="26"/>
  <c r="Z8" i="34"/>
  <c r="Y7" i="34"/>
  <c r="AB7" i="36"/>
  <c r="AC8" i="36"/>
  <c r="Z7" i="35"/>
  <c r="AA8" i="35"/>
  <c r="Y18" i="35"/>
  <c r="Y23" i="35"/>
  <c r="Y11" i="35"/>
  <c r="Y28" i="35"/>
  <c r="Y17" i="35"/>
  <c r="Y27" i="35"/>
  <c r="Y22" i="35"/>
  <c r="Y10" i="35"/>
  <c r="Y13" i="35"/>
  <c r="Y25" i="35"/>
  <c r="Y19" i="35"/>
  <c r="Y15" i="35"/>
  <c r="Y14" i="35"/>
  <c r="Y12" i="35"/>
  <c r="Y24" i="35"/>
  <c r="Y26" i="35"/>
  <c r="Y21" i="35"/>
  <c r="Y9" i="35"/>
  <c r="Y20" i="35"/>
  <c r="Y16" i="35"/>
  <c r="Y7" i="33"/>
  <c r="Z8" i="33"/>
  <c r="AA8" i="32"/>
  <c r="Z7" i="32"/>
  <c r="Z8" i="31"/>
  <c r="Y7" i="31"/>
  <c r="Y7" i="30"/>
  <c r="Z8" i="30"/>
  <c r="X25" i="30"/>
  <c r="X13" i="30"/>
  <c r="X18" i="30"/>
  <c r="X23" i="30"/>
  <c r="X11" i="30"/>
  <c r="X28" i="30"/>
  <c r="X16" i="30"/>
  <c r="X21" i="30"/>
  <c r="X9" i="30"/>
  <c r="X26" i="30"/>
  <c r="X14" i="30"/>
  <c r="X20" i="30"/>
  <c r="X15" i="30"/>
  <c r="X19" i="30"/>
  <c r="X12" i="30"/>
  <c r="X22" i="30"/>
  <c r="X24" i="30"/>
  <c r="X27" i="30"/>
  <c r="X17" i="30"/>
  <c r="X10" i="30"/>
  <c r="AA8" i="29"/>
  <c r="Z7" i="29"/>
  <c r="Y7" i="28"/>
  <c r="Z8" i="28"/>
  <c r="AA8" i="26"/>
  <c r="Z7" i="26"/>
  <c r="AA8" i="2"/>
  <c r="Z7" i="2"/>
  <c r="Y11" i="27" l="1"/>
  <c r="Y14" i="27"/>
  <c r="Y17" i="27"/>
  <c r="Y20" i="27"/>
  <c r="Y23" i="27"/>
  <c r="Y26" i="27"/>
  <c r="Y15" i="27"/>
  <c r="Y16" i="27"/>
  <c r="Y28" i="27"/>
  <c r="Y12" i="27"/>
  <c r="Y18" i="27"/>
  <c r="Y24" i="27"/>
  <c r="Y19" i="27"/>
  <c r="Y13" i="27"/>
  <c r="Y25" i="27"/>
  <c r="Y27" i="27"/>
  <c r="Y9" i="27"/>
  <c r="Y21" i="27"/>
  <c r="Y10" i="27"/>
  <c r="Y22" i="27"/>
  <c r="Z7" i="27"/>
  <c r="AA8" i="27"/>
  <c r="AA8" i="34"/>
  <c r="Z7" i="34"/>
  <c r="AD8" i="36"/>
  <c r="AC7" i="36"/>
  <c r="AB8" i="35"/>
  <c r="AA7" i="35"/>
  <c r="AA8" i="33"/>
  <c r="Z7" i="33"/>
  <c r="Z23" i="32"/>
  <c r="Z11" i="32"/>
  <c r="Z28" i="32"/>
  <c r="Z16" i="32"/>
  <c r="Z21" i="32"/>
  <c r="Z9" i="32"/>
  <c r="Z26" i="32"/>
  <c r="Z19" i="32"/>
  <c r="Z14" i="32"/>
  <c r="Z15" i="32"/>
  <c r="Z18" i="32"/>
  <c r="Z13" i="32"/>
  <c r="Z20" i="32"/>
  <c r="Z12" i="32"/>
  <c r="Z27" i="32"/>
  <c r="Z22" i="32"/>
  <c r="Z10" i="32"/>
  <c r="Z24" i="32"/>
  <c r="Z17" i="32"/>
  <c r="Z25" i="32"/>
  <c r="AA7" i="32"/>
  <c r="AB8" i="32"/>
  <c r="Z7" i="31"/>
  <c r="AA8" i="31"/>
  <c r="Z7" i="30"/>
  <c r="AA8" i="30"/>
  <c r="AA7" i="29"/>
  <c r="AB8" i="29"/>
  <c r="Z7" i="28"/>
  <c r="AA8" i="28"/>
  <c r="AB8" i="26"/>
  <c r="AA7" i="26"/>
  <c r="AB8" i="2"/>
  <c r="AA7" i="2"/>
  <c r="AB8" i="27" l="1"/>
  <c r="AA7" i="27"/>
  <c r="AB8" i="34"/>
  <c r="AA7" i="34"/>
  <c r="AE8" i="36"/>
  <c r="AD7" i="36"/>
  <c r="AC8" i="35"/>
  <c r="AB7" i="35"/>
  <c r="AB8" i="33"/>
  <c r="AA7" i="33"/>
  <c r="AB7" i="32"/>
  <c r="AC8" i="32"/>
  <c r="AA7" i="31"/>
  <c r="AB8" i="31"/>
  <c r="AA7" i="30"/>
  <c r="AB8" i="30"/>
  <c r="AB7" i="29"/>
  <c r="AC8" i="29"/>
  <c r="AA28" i="29"/>
  <c r="AA16" i="29"/>
  <c r="AA21" i="29"/>
  <c r="AA9" i="29"/>
  <c r="AA26" i="29"/>
  <c r="AA14" i="29"/>
  <c r="AA19" i="29"/>
  <c r="AA24" i="29"/>
  <c r="AA12" i="29"/>
  <c r="AA27" i="29"/>
  <c r="AA15" i="29"/>
  <c r="AA20" i="29"/>
  <c r="AA25" i="29"/>
  <c r="AA13" i="29"/>
  <c r="AA11" i="29"/>
  <c r="AA18" i="29"/>
  <c r="AA10" i="29"/>
  <c r="AA17" i="29"/>
  <c r="AA22" i="29"/>
  <c r="AA23" i="29"/>
  <c r="AA7" i="28"/>
  <c r="AB8" i="28"/>
  <c r="AC8" i="26"/>
  <c r="AB7" i="26"/>
  <c r="AC8" i="2"/>
  <c r="AB7" i="2"/>
  <c r="AB9" i="2" l="1"/>
  <c r="AB21" i="2"/>
  <c r="AB10" i="2"/>
  <c r="AB22" i="2"/>
  <c r="AB11" i="2"/>
  <c r="AB23" i="2"/>
  <c r="AB12" i="2"/>
  <c r="AB24" i="2"/>
  <c r="AB13" i="2"/>
  <c r="AB25" i="2"/>
  <c r="AB26" i="2"/>
  <c r="AB15" i="2"/>
  <c r="AB16" i="2"/>
  <c r="AB28" i="2"/>
  <c r="AB17" i="2"/>
  <c r="AB14" i="2"/>
  <c r="AB27" i="2"/>
  <c r="AB20" i="2"/>
  <c r="AB18" i="2"/>
  <c r="AB19" i="2"/>
  <c r="AB7" i="27"/>
  <c r="AC8" i="27"/>
  <c r="AC8" i="34"/>
  <c r="AB7" i="34"/>
  <c r="AD19" i="36"/>
  <c r="AD24" i="36"/>
  <c r="AD22" i="36"/>
  <c r="AD10" i="36"/>
  <c r="AD17" i="36"/>
  <c r="AD25" i="36"/>
  <c r="AD18" i="36"/>
  <c r="AD21" i="36"/>
  <c r="AD28" i="36"/>
  <c r="AD13" i="36"/>
  <c r="AD27" i="36"/>
  <c r="AD16" i="36"/>
  <c r="AD20" i="36"/>
  <c r="AD14" i="36"/>
  <c r="AD9" i="36"/>
  <c r="AD23" i="36"/>
  <c r="AD12" i="36"/>
  <c r="AD11" i="36"/>
  <c r="AD26" i="36"/>
  <c r="AD15" i="36"/>
  <c r="AE7" i="36"/>
  <c r="AF8" i="36"/>
  <c r="AD8" i="35"/>
  <c r="AC7" i="35"/>
  <c r="AC8" i="33"/>
  <c r="AB7" i="33"/>
  <c r="AC7" i="32"/>
  <c r="AD8" i="32"/>
  <c r="AB7" i="31"/>
  <c r="AC8" i="31"/>
  <c r="AB7" i="30"/>
  <c r="AC8" i="30"/>
  <c r="AC7" i="29"/>
  <c r="AD8" i="29"/>
  <c r="AB7" i="28"/>
  <c r="AC8" i="28"/>
  <c r="AC7" i="26"/>
  <c r="AD8" i="26"/>
  <c r="AD8" i="2"/>
  <c r="AC7" i="2"/>
  <c r="AC7" i="27" l="1"/>
  <c r="AD8" i="27"/>
  <c r="AB21" i="34"/>
  <c r="AB9" i="34"/>
  <c r="AB26" i="34"/>
  <c r="AB14" i="34"/>
  <c r="AB19" i="34"/>
  <c r="AB12" i="34"/>
  <c r="AB10" i="34"/>
  <c r="AB16" i="34"/>
  <c r="AB23" i="34"/>
  <c r="AB20" i="34"/>
  <c r="AB13" i="34"/>
  <c r="AB28" i="34"/>
  <c r="AB24" i="34"/>
  <c r="AB17" i="34"/>
  <c r="AB15" i="34"/>
  <c r="AB25" i="34"/>
  <c r="AB27" i="34"/>
  <c r="AB11" i="34"/>
  <c r="AB22" i="34"/>
  <c r="AB18" i="34"/>
  <c r="AC7" i="34"/>
  <c r="AD8" i="34"/>
  <c r="AG8" i="36"/>
  <c r="AF7" i="36"/>
  <c r="AD7" i="35"/>
  <c r="AE8" i="35"/>
  <c r="AC7" i="33"/>
  <c r="AD8" i="33"/>
  <c r="AD7" i="32"/>
  <c r="AE8" i="32"/>
  <c r="AC7" i="31"/>
  <c r="AD8" i="31"/>
  <c r="AC7" i="30"/>
  <c r="AD8" i="30"/>
  <c r="AD7" i="29"/>
  <c r="AE8" i="29"/>
  <c r="AC7" i="28"/>
  <c r="AD8" i="28"/>
  <c r="AE8" i="26"/>
  <c r="AD7" i="26"/>
  <c r="AE8" i="2"/>
  <c r="AD7" i="2"/>
  <c r="AC9" i="28" l="1"/>
  <c r="AC12" i="28"/>
  <c r="AC15" i="28"/>
  <c r="AC18" i="28"/>
  <c r="AC21" i="28"/>
  <c r="AC24" i="28"/>
  <c r="AC27" i="28"/>
  <c r="AC19" i="28"/>
  <c r="AC13" i="28"/>
  <c r="AC16" i="28"/>
  <c r="AC25" i="28"/>
  <c r="AC28" i="28"/>
  <c r="AC10" i="28"/>
  <c r="AC22" i="28"/>
  <c r="AC14" i="28"/>
  <c r="AC20" i="28"/>
  <c r="AC26" i="28"/>
  <c r="AC17" i="28"/>
  <c r="AC11" i="28"/>
  <c r="AC23" i="28"/>
  <c r="AE8" i="27"/>
  <c r="AD7" i="27"/>
  <c r="AD7" i="34"/>
  <c r="AE8" i="34"/>
  <c r="AG7" i="36"/>
  <c r="AH8" i="36"/>
  <c r="AE7" i="35"/>
  <c r="AF8" i="35"/>
  <c r="AD7" i="33"/>
  <c r="AE8" i="33"/>
  <c r="AE7" i="32"/>
  <c r="AF8" i="32"/>
  <c r="AD7" i="31"/>
  <c r="AE8" i="31"/>
  <c r="AC26" i="31"/>
  <c r="AC14" i="31"/>
  <c r="AC19" i="31"/>
  <c r="AC24" i="31"/>
  <c r="AC12" i="31"/>
  <c r="AC17" i="31"/>
  <c r="AC22" i="31"/>
  <c r="AC10" i="31"/>
  <c r="AC27" i="31"/>
  <c r="AC15" i="31"/>
  <c r="AC13" i="31"/>
  <c r="AC20" i="31"/>
  <c r="AC25" i="31"/>
  <c r="AC11" i="31"/>
  <c r="AC21" i="31"/>
  <c r="AC9" i="31"/>
  <c r="AC28" i="31"/>
  <c r="AC23" i="31"/>
  <c r="AC18" i="31"/>
  <c r="AC16" i="31"/>
  <c r="AD7" i="30"/>
  <c r="AE8" i="30"/>
  <c r="AE7" i="29"/>
  <c r="AF8" i="29"/>
  <c r="AD7" i="28"/>
  <c r="AE8" i="28"/>
  <c r="AF8" i="26"/>
  <c r="AE7" i="26"/>
  <c r="AF8" i="2"/>
  <c r="AE7" i="2"/>
  <c r="AE7" i="27" l="1"/>
  <c r="AF8" i="27"/>
  <c r="AE7" i="34"/>
  <c r="AF8" i="34"/>
  <c r="AH7" i="36"/>
  <c r="AI8" i="36"/>
  <c r="AF7" i="35"/>
  <c r="AG8" i="35"/>
  <c r="AE7" i="33"/>
  <c r="AF8" i="33"/>
  <c r="AD19" i="33"/>
  <c r="AD24" i="33"/>
  <c r="AD12" i="33"/>
  <c r="AD17" i="33"/>
  <c r="AD26" i="33"/>
  <c r="AD22" i="33"/>
  <c r="AD11" i="33"/>
  <c r="AD28" i="33"/>
  <c r="AD25" i="33"/>
  <c r="AD16" i="33"/>
  <c r="AD10" i="33"/>
  <c r="AD27" i="33"/>
  <c r="AD23" i="33"/>
  <c r="AD20" i="33"/>
  <c r="AD13" i="33"/>
  <c r="AD9" i="33"/>
  <c r="AD21" i="33"/>
  <c r="AD14" i="33"/>
  <c r="AD15" i="33"/>
  <c r="AD18" i="33"/>
  <c r="AG8" i="32"/>
  <c r="AF7" i="32"/>
  <c r="AE7" i="31"/>
  <c r="AF8" i="31"/>
  <c r="AE7" i="30"/>
  <c r="AF8" i="30"/>
  <c r="AG8" i="29"/>
  <c r="AF7" i="29"/>
  <c r="AE7" i="28"/>
  <c r="AF8" i="28"/>
  <c r="AG8" i="26"/>
  <c r="AF7" i="26"/>
  <c r="AG8" i="2"/>
  <c r="AF7" i="2"/>
  <c r="AF7" i="27" l="1"/>
  <c r="AG8" i="27"/>
  <c r="AF10" i="26"/>
  <c r="AF19" i="26"/>
  <c r="AF14" i="26"/>
  <c r="AF26" i="26"/>
  <c r="AF22" i="26"/>
  <c r="AF9" i="26"/>
  <c r="AF12" i="26"/>
  <c r="AF15" i="26"/>
  <c r="AF18" i="26"/>
  <c r="AF21" i="26"/>
  <c r="AF24" i="26"/>
  <c r="AF27" i="26"/>
  <c r="AF16" i="26"/>
  <c r="AF17" i="26"/>
  <c r="AF13" i="26"/>
  <c r="AF25" i="26"/>
  <c r="AF20" i="26"/>
  <c r="AF11" i="26"/>
  <c r="AF23" i="26"/>
  <c r="AF7" i="34"/>
  <c r="AG8" i="34"/>
  <c r="AJ8" i="36"/>
  <c r="AI7" i="36"/>
  <c r="AG7" i="35"/>
  <c r="AH8" i="35"/>
  <c r="AF17" i="35"/>
  <c r="AF22" i="35"/>
  <c r="AF10" i="35"/>
  <c r="AF27" i="35"/>
  <c r="AF28" i="35"/>
  <c r="AF16" i="35"/>
  <c r="AF21" i="35"/>
  <c r="AF9" i="35"/>
  <c r="AF26" i="35"/>
  <c r="AF19" i="35"/>
  <c r="AF24" i="35"/>
  <c r="AF14" i="35"/>
  <c r="AF12" i="35"/>
  <c r="AF25" i="35"/>
  <c r="AF23" i="35"/>
  <c r="AF11" i="35"/>
  <c r="AF20" i="35"/>
  <c r="AF13" i="35"/>
  <c r="AF18" i="35"/>
  <c r="AF15" i="35"/>
  <c r="AG8" i="33"/>
  <c r="AF7" i="33"/>
  <c r="AH8" i="32"/>
  <c r="AG7" i="32"/>
  <c r="AG8" i="31"/>
  <c r="AF7" i="31"/>
  <c r="AG8" i="30"/>
  <c r="AF7" i="30"/>
  <c r="AE24" i="30"/>
  <c r="AE12" i="30"/>
  <c r="AE17" i="30"/>
  <c r="AE22" i="30"/>
  <c r="AE10" i="30"/>
  <c r="AE27" i="30"/>
  <c r="AE15" i="30"/>
  <c r="AE20" i="30"/>
  <c r="AE25" i="30"/>
  <c r="AE13" i="30"/>
  <c r="AE23" i="30"/>
  <c r="AE19" i="30"/>
  <c r="AE21" i="30"/>
  <c r="AE16" i="30"/>
  <c r="AE26" i="30"/>
  <c r="AE18" i="30"/>
  <c r="AE11" i="30"/>
  <c r="AE28" i="30"/>
  <c r="AE14" i="30"/>
  <c r="AE9" i="30"/>
  <c r="AH8" i="29"/>
  <c r="AG7" i="29"/>
  <c r="AG8" i="28"/>
  <c r="AF7" i="28"/>
  <c r="AH8" i="26"/>
  <c r="AG7" i="26"/>
  <c r="AH8" i="2"/>
  <c r="AG7" i="2"/>
  <c r="AH8" i="27" l="1"/>
  <c r="AG7" i="27"/>
  <c r="AF9" i="27"/>
  <c r="AF24" i="27"/>
  <c r="AF12" i="27"/>
  <c r="AF15" i="27"/>
  <c r="AF18" i="27"/>
  <c r="AF21" i="27"/>
  <c r="AF27" i="27"/>
  <c r="AF13" i="27"/>
  <c r="AF25" i="27"/>
  <c r="AF20" i="27"/>
  <c r="AF10" i="27"/>
  <c r="AF16" i="27"/>
  <c r="AF22" i="27"/>
  <c r="AF11" i="27"/>
  <c r="AF28" i="27"/>
  <c r="AF17" i="27"/>
  <c r="AF23" i="27"/>
  <c r="AF19" i="27"/>
  <c r="AF14" i="27"/>
  <c r="AF26" i="27"/>
  <c r="AH8" i="34"/>
  <c r="AG7" i="34"/>
  <c r="AK8" i="36"/>
  <c r="AJ7" i="36"/>
  <c r="AI8" i="35"/>
  <c r="AH7" i="35"/>
  <c r="AH8" i="33"/>
  <c r="AG7" i="33"/>
  <c r="AI8" i="32"/>
  <c r="AH7" i="32"/>
  <c r="AG22" i="32"/>
  <c r="AG10" i="32"/>
  <c r="AG27" i="32"/>
  <c r="AG15" i="32"/>
  <c r="AG20" i="32"/>
  <c r="AG25" i="32"/>
  <c r="AG18" i="32"/>
  <c r="AG19" i="32"/>
  <c r="AG14" i="32"/>
  <c r="AG13" i="32"/>
  <c r="AG24" i="32"/>
  <c r="AG17" i="32"/>
  <c r="AG12" i="32"/>
  <c r="AG26" i="32"/>
  <c r="AG28" i="32"/>
  <c r="AG9" i="32"/>
  <c r="AG21" i="32"/>
  <c r="AG16" i="32"/>
  <c r="AG11" i="32"/>
  <c r="AG23" i="32"/>
  <c r="AH8" i="31"/>
  <c r="AG7" i="31"/>
  <c r="AH8" i="30"/>
  <c r="AG7" i="30"/>
  <c r="AI8" i="29"/>
  <c r="AH7" i="29"/>
  <c r="AH8" i="28"/>
  <c r="AG7" i="28"/>
  <c r="AH7" i="26"/>
  <c r="AI8" i="26"/>
  <c r="AI8" i="2"/>
  <c r="AH7" i="2"/>
  <c r="AI8" i="27" l="1"/>
  <c r="AH7" i="27"/>
  <c r="AI8" i="34"/>
  <c r="AH7" i="34"/>
  <c r="AL8" i="36"/>
  <c r="AK7" i="36"/>
  <c r="AJ8" i="35"/>
  <c r="AI7" i="35"/>
  <c r="AI8" i="33"/>
  <c r="AH7" i="33"/>
  <c r="AJ8" i="32"/>
  <c r="AI7" i="32"/>
  <c r="AI8" i="31"/>
  <c r="AH7" i="31"/>
  <c r="AI8" i="30"/>
  <c r="AH7" i="30"/>
  <c r="AH27" i="29"/>
  <c r="AH15" i="29"/>
  <c r="AH20" i="29"/>
  <c r="AH25" i="29"/>
  <c r="AH13" i="29"/>
  <c r="AH28" i="29"/>
  <c r="AH18" i="29"/>
  <c r="AH23" i="29"/>
  <c r="AH11" i="29"/>
  <c r="AH26" i="29"/>
  <c r="AH14" i="29"/>
  <c r="AH19" i="29"/>
  <c r="AH24" i="29"/>
  <c r="AH12" i="29"/>
  <c r="AH10" i="29"/>
  <c r="AH17" i="29"/>
  <c r="AH9" i="29"/>
  <c r="AH22" i="29"/>
  <c r="AH21" i="29"/>
  <c r="AH16" i="29"/>
  <c r="AJ8" i="29"/>
  <c r="AI7" i="29"/>
  <c r="AI8" i="28"/>
  <c r="AH7" i="28"/>
  <c r="AI7" i="26"/>
  <c r="AJ8" i="26"/>
  <c r="AJ8" i="2"/>
  <c r="AJ7" i="2" s="1"/>
  <c r="AI7" i="2"/>
  <c r="AJ8" i="27" l="1"/>
  <c r="AI7" i="27"/>
  <c r="AI12" i="2"/>
  <c r="AI10" i="2"/>
  <c r="AI13" i="2"/>
  <c r="AI16" i="2"/>
  <c r="AI19" i="2"/>
  <c r="AI22" i="2"/>
  <c r="AI25" i="2"/>
  <c r="AI28" i="2"/>
  <c r="AI18" i="2"/>
  <c r="AI27" i="2"/>
  <c r="AI15" i="2"/>
  <c r="AI21" i="2"/>
  <c r="AI24" i="2"/>
  <c r="AI11" i="2"/>
  <c r="AI14" i="2"/>
  <c r="AI17" i="2"/>
  <c r="AI20" i="2"/>
  <c r="AI23" i="2"/>
  <c r="AI26" i="2"/>
  <c r="AI9" i="2"/>
  <c r="AJ8" i="34"/>
  <c r="AI7" i="34"/>
  <c r="AK18" i="36"/>
  <c r="AK23" i="36"/>
  <c r="AK21" i="36"/>
  <c r="AK9" i="36"/>
  <c r="AK15" i="36"/>
  <c r="AK25" i="36"/>
  <c r="AK22" i="36"/>
  <c r="AK16" i="36"/>
  <c r="AK26" i="36"/>
  <c r="AK19" i="36"/>
  <c r="AK14" i="36"/>
  <c r="AK10" i="36"/>
  <c r="AK24" i="36"/>
  <c r="AK11" i="36"/>
  <c r="AK17" i="36"/>
  <c r="AK12" i="36"/>
  <c r="AK28" i="36"/>
  <c r="AK13" i="36"/>
  <c r="AK20" i="36"/>
  <c r="AK27" i="36"/>
  <c r="AM8" i="36"/>
  <c r="AL7" i="36"/>
  <c r="AJ7" i="35"/>
  <c r="AK8" i="35"/>
  <c r="AJ8" i="33"/>
  <c r="AI7" i="33"/>
  <c r="AJ7" i="32"/>
  <c r="AK8" i="32"/>
  <c r="AJ8" i="31"/>
  <c r="AI7" i="31"/>
  <c r="AJ8" i="30"/>
  <c r="AI7" i="30"/>
  <c r="AJ7" i="29"/>
  <c r="AK8" i="29"/>
  <c r="AJ8" i="28"/>
  <c r="AI7" i="28"/>
  <c r="AK8" i="26"/>
  <c r="AJ7" i="26"/>
  <c r="AK8" i="2"/>
  <c r="AK8" i="27" l="1"/>
  <c r="AJ7" i="27"/>
  <c r="AI20" i="34"/>
  <c r="AI25" i="34"/>
  <c r="AI13" i="34"/>
  <c r="AI18" i="34"/>
  <c r="AI24" i="34"/>
  <c r="AI17" i="34"/>
  <c r="AI14" i="34"/>
  <c r="AI15" i="34"/>
  <c r="AI19" i="34"/>
  <c r="AI21" i="34"/>
  <c r="AI10" i="34"/>
  <c r="AI11" i="34"/>
  <c r="AI22" i="34"/>
  <c r="AI27" i="34"/>
  <c r="AI9" i="34"/>
  <c r="AI26" i="34"/>
  <c r="AI23" i="34"/>
  <c r="AI12" i="34"/>
  <c r="AI16" i="34"/>
  <c r="AI28" i="34"/>
  <c r="AK8" i="34"/>
  <c r="AJ7" i="34"/>
  <c r="AN8" i="36"/>
  <c r="AN7" i="36" s="1"/>
  <c r="AM7" i="36"/>
  <c r="AK7" i="35"/>
  <c r="AL8" i="35"/>
  <c r="AK8" i="33"/>
  <c r="AJ7" i="33"/>
  <c r="AK7" i="32"/>
  <c r="AL8" i="32"/>
  <c r="AJ7" i="31"/>
  <c r="AK8" i="31"/>
  <c r="AK8" i="30"/>
  <c r="AJ7" i="30"/>
  <c r="AL8" i="29"/>
  <c r="AK7" i="29"/>
  <c r="AJ7" i="28"/>
  <c r="AK8" i="28"/>
  <c r="AK7" i="26"/>
  <c r="AL8" i="26"/>
  <c r="AL8" i="2"/>
  <c r="AK7" i="2"/>
  <c r="AL8" i="27" l="1"/>
  <c r="AK7" i="27"/>
  <c r="AL8" i="34"/>
  <c r="AK7" i="34"/>
  <c r="I27" i="36"/>
  <c r="I20" i="36"/>
  <c r="I17" i="36"/>
  <c r="I18" i="36"/>
  <c r="I26" i="36"/>
  <c r="I22" i="36"/>
  <c r="I16" i="36"/>
  <c r="I12" i="36"/>
  <c r="I9" i="36"/>
  <c r="I24" i="36"/>
  <c r="I28" i="36"/>
  <c r="I11" i="36"/>
  <c r="I25" i="36"/>
  <c r="I10" i="36"/>
  <c r="I15" i="36"/>
  <c r="I13" i="36"/>
  <c r="I21" i="36"/>
  <c r="I19" i="36"/>
  <c r="I14" i="36"/>
  <c r="I23" i="36"/>
  <c r="AL7" i="35"/>
  <c r="AM8" i="35"/>
  <c r="AK7" i="33"/>
  <c r="AL8" i="33"/>
  <c r="AL7" i="32"/>
  <c r="AM8" i="32"/>
  <c r="AJ25" i="31"/>
  <c r="AJ13" i="31"/>
  <c r="AJ18" i="31"/>
  <c r="AJ23" i="31"/>
  <c r="AJ11" i="31"/>
  <c r="AJ28" i="31"/>
  <c r="AJ16" i="31"/>
  <c r="AJ21" i="31"/>
  <c r="AJ9" i="31"/>
  <c r="AJ26" i="31"/>
  <c r="AJ14" i="31"/>
  <c r="AJ27" i="31"/>
  <c r="AJ20" i="31"/>
  <c r="AJ15" i="31"/>
  <c r="AJ17" i="31"/>
  <c r="AJ22" i="31"/>
  <c r="AJ10" i="31"/>
  <c r="AJ24" i="31"/>
  <c r="AJ12" i="31"/>
  <c r="AJ19" i="31"/>
  <c r="AL8" i="31"/>
  <c r="AK7" i="31"/>
  <c r="AL8" i="30"/>
  <c r="AK7" i="30"/>
  <c r="AM8" i="29"/>
  <c r="AL7" i="29"/>
  <c r="AJ25" i="28"/>
  <c r="AJ13" i="28"/>
  <c r="AJ18" i="28"/>
  <c r="AJ23" i="28"/>
  <c r="AJ11" i="28"/>
  <c r="AJ28" i="28"/>
  <c r="AJ16" i="28"/>
  <c r="AJ21" i="28"/>
  <c r="AJ9" i="28"/>
  <c r="AJ24" i="28"/>
  <c r="AJ12" i="28"/>
  <c r="AJ27" i="28"/>
  <c r="AJ22" i="28"/>
  <c r="AJ19" i="28"/>
  <c r="AJ15" i="28"/>
  <c r="AJ10" i="28"/>
  <c r="AJ14" i="28"/>
  <c r="AJ17" i="28"/>
  <c r="AJ20" i="28"/>
  <c r="AJ26" i="28"/>
  <c r="AK7" i="28"/>
  <c r="AL8" i="28"/>
  <c r="AM8" i="26"/>
  <c r="AL7" i="26"/>
  <c r="AM8" i="2"/>
  <c r="AL7" i="2"/>
  <c r="AM8" i="27" l="1"/>
  <c r="AL7" i="27"/>
  <c r="AL11" i="26"/>
  <c r="AL17" i="26"/>
  <c r="AL23" i="26"/>
  <c r="AL12" i="26"/>
  <c r="AL10" i="26"/>
  <c r="AL13" i="26"/>
  <c r="AL16" i="26"/>
  <c r="AL19" i="26"/>
  <c r="AL22" i="26"/>
  <c r="AL25" i="26"/>
  <c r="AL15" i="26"/>
  <c r="AL14" i="26"/>
  <c r="AL20" i="26"/>
  <c r="AL26" i="26"/>
  <c r="AL18" i="26"/>
  <c r="AL21" i="26"/>
  <c r="AL9" i="26"/>
  <c r="AL24" i="26"/>
  <c r="AL27" i="26"/>
  <c r="AL7" i="34"/>
  <c r="AM8" i="34"/>
  <c r="AU20" i="36"/>
  <c r="AW20" i="36"/>
  <c r="AV20" i="36"/>
  <c r="AZ20" i="36" s="1"/>
  <c r="BB20" i="36" s="1"/>
  <c r="BC20" i="36" s="1"/>
  <c r="BD20" i="36" s="1"/>
  <c r="AW23" i="36"/>
  <c r="AU23" i="36"/>
  <c r="AV23" i="36"/>
  <c r="AZ23" i="36" s="1"/>
  <c r="BB23" i="36" s="1"/>
  <c r="BC23" i="36" s="1"/>
  <c r="BD23" i="36" s="1"/>
  <c r="AU10" i="36"/>
  <c r="AV10" i="36"/>
  <c r="AZ10" i="36" s="1"/>
  <c r="BB10" i="36" s="1"/>
  <c r="BC10" i="36" s="1"/>
  <c r="BD10" i="36" s="1"/>
  <c r="AW10" i="36"/>
  <c r="AU14" i="36"/>
  <c r="AV14" i="36"/>
  <c r="AZ14" i="36" s="1"/>
  <c r="BB14" i="36" s="1"/>
  <c r="BC14" i="36" s="1"/>
  <c r="BD14" i="36" s="1"/>
  <c r="AW14" i="36"/>
  <c r="AW18" i="36"/>
  <c r="AV18" i="36"/>
  <c r="AZ18" i="36" s="1"/>
  <c r="BB18" i="36" s="1"/>
  <c r="BC18" i="36" s="1"/>
  <c r="BD18" i="36" s="1"/>
  <c r="AU18" i="36"/>
  <c r="AV15" i="36"/>
  <c r="AZ15" i="36" s="1"/>
  <c r="BB15" i="36" s="1"/>
  <c r="BC15" i="36" s="1"/>
  <c r="BD15" i="36" s="1"/>
  <c r="AU15" i="36"/>
  <c r="AW15" i="36"/>
  <c r="AU28" i="36"/>
  <c r="AV28" i="36"/>
  <c r="AZ28" i="36" s="1"/>
  <c r="BB28" i="36" s="1"/>
  <c r="BC28" i="36" s="1"/>
  <c r="BD28" i="36" s="1"/>
  <c r="AW28" i="36"/>
  <c r="AW16" i="36"/>
  <c r="AU16" i="36"/>
  <c r="AV16" i="36"/>
  <c r="AZ16" i="36" s="1"/>
  <c r="BB16" i="36" s="1"/>
  <c r="BC16" i="36" s="1"/>
  <c r="BD16" i="36" s="1"/>
  <c r="AV24" i="36"/>
  <c r="AZ24" i="36" s="1"/>
  <c r="BB24" i="36" s="1"/>
  <c r="BC24" i="36" s="1"/>
  <c r="BD24" i="36" s="1"/>
  <c r="AU24" i="36"/>
  <c r="AW24" i="36"/>
  <c r="AX22" i="36"/>
  <c r="AX10" i="36"/>
  <c r="AX27" i="36"/>
  <c r="AX25" i="36"/>
  <c r="AX13" i="36"/>
  <c r="AX18" i="36"/>
  <c r="AX24" i="36"/>
  <c r="AX21" i="36"/>
  <c r="AX17" i="36"/>
  <c r="AX28" i="36"/>
  <c r="AX26" i="36"/>
  <c r="AX19" i="36"/>
  <c r="AX15" i="36"/>
  <c r="AX12" i="36"/>
  <c r="AX23" i="36"/>
  <c r="AX9" i="36"/>
  <c r="AX14" i="36"/>
  <c r="AX16" i="36"/>
  <c r="AX11" i="36"/>
  <c r="AX20" i="36"/>
  <c r="AV12" i="36"/>
  <c r="AZ12" i="36" s="1"/>
  <c r="BB12" i="36" s="1"/>
  <c r="BC12" i="36" s="1"/>
  <c r="BD12" i="36" s="1"/>
  <c r="AW12" i="36"/>
  <c r="AU12" i="36"/>
  <c r="AU27" i="36"/>
  <c r="AV27" i="36"/>
  <c r="AZ27" i="36" s="1"/>
  <c r="BB27" i="36" s="1"/>
  <c r="BC27" i="36" s="1"/>
  <c r="BD27" i="36" s="1"/>
  <c r="AW27" i="36"/>
  <c r="AV26" i="36"/>
  <c r="AZ26" i="36" s="1"/>
  <c r="BB26" i="36" s="1"/>
  <c r="BC26" i="36" s="1"/>
  <c r="BD26" i="36" s="1"/>
  <c r="AU26" i="36"/>
  <c r="AW26" i="36"/>
  <c r="AU25" i="36"/>
  <c r="AV25" i="36"/>
  <c r="AZ25" i="36" s="1"/>
  <c r="BB25" i="36" s="1"/>
  <c r="BC25" i="36" s="1"/>
  <c r="BD25" i="36" s="1"/>
  <c r="AW25" i="36"/>
  <c r="AW19" i="36"/>
  <c r="AV19" i="36"/>
  <c r="AZ19" i="36" s="1"/>
  <c r="BB19" i="36" s="1"/>
  <c r="BC19" i="36" s="1"/>
  <c r="BD19" i="36" s="1"/>
  <c r="AU19" i="36"/>
  <c r="AU22" i="36"/>
  <c r="AW22" i="36"/>
  <c r="AV22" i="36"/>
  <c r="AZ22" i="36" s="1"/>
  <c r="BB22" i="36" s="1"/>
  <c r="BC22" i="36" s="1"/>
  <c r="BD22" i="36" s="1"/>
  <c r="AU11" i="36"/>
  <c r="AV11" i="36"/>
  <c r="AZ11" i="36" s="1"/>
  <c r="BB11" i="36" s="1"/>
  <c r="BC11" i="36" s="1"/>
  <c r="BD11" i="36" s="1"/>
  <c r="AW11" i="36"/>
  <c r="AU9" i="36"/>
  <c r="AW9" i="36"/>
  <c r="AV9" i="36"/>
  <c r="AZ9" i="36" s="1"/>
  <c r="BB9" i="36" s="1"/>
  <c r="BC9" i="36" s="1"/>
  <c r="BD9" i="36" s="1"/>
  <c r="AV17" i="36"/>
  <c r="AZ17" i="36" s="1"/>
  <c r="BB17" i="36" s="1"/>
  <c r="BC17" i="36" s="1"/>
  <c r="BD17" i="36" s="1"/>
  <c r="AU17" i="36"/>
  <c r="AW17" i="36"/>
  <c r="AU13" i="36"/>
  <c r="AV13" i="36"/>
  <c r="AZ13" i="36" s="1"/>
  <c r="BB13" i="36" s="1"/>
  <c r="BC13" i="36" s="1"/>
  <c r="BD13" i="36" s="1"/>
  <c r="AW13" i="36"/>
  <c r="AU21" i="36"/>
  <c r="AV21" i="36"/>
  <c r="AZ21" i="36" s="1"/>
  <c r="BB21" i="36" s="1"/>
  <c r="BC21" i="36" s="1"/>
  <c r="BD21" i="36" s="1"/>
  <c r="AW21" i="36"/>
  <c r="AN8" i="35"/>
  <c r="AN7" i="35" s="1"/>
  <c r="AM7" i="35"/>
  <c r="AM8" i="33"/>
  <c r="AL7" i="33"/>
  <c r="AK18" i="33"/>
  <c r="AK23" i="33"/>
  <c r="AK11" i="33"/>
  <c r="AK28" i="33"/>
  <c r="AK16" i="33"/>
  <c r="AK25" i="33"/>
  <c r="AK20" i="33"/>
  <c r="AK13" i="33"/>
  <c r="AK15" i="33"/>
  <c r="AK27" i="33"/>
  <c r="AK17" i="33"/>
  <c r="AK14" i="33"/>
  <c r="AK19" i="33"/>
  <c r="AK21" i="33"/>
  <c r="AK10" i="33"/>
  <c r="AK24" i="33"/>
  <c r="AK22" i="33"/>
  <c r="AK26" i="33"/>
  <c r="AK12" i="33"/>
  <c r="AK9" i="33"/>
  <c r="AM7" i="32"/>
  <c r="AN8" i="32"/>
  <c r="AN7" i="32" s="1"/>
  <c r="AL7" i="31"/>
  <c r="AM8" i="31"/>
  <c r="AL7" i="30"/>
  <c r="AM8" i="30"/>
  <c r="AM7" i="29"/>
  <c r="AN8" i="29"/>
  <c r="AN7" i="29" s="1"/>
  <c r="AL7" i="28"/>
  <c r="AM8" i="28"/>
  <c r="AN8" i="26"/>
  <c r="AN7" i="26" s="1"/>
  <c r="AM7" i="26"/>
  <c r="AN8" i="2"/>
  <c r="AN7" i="2" s="1"/>
  <c r="AM7" i="2"/>
  <c r="AN8" i="27" l="1"/>
  <c r="AN7" i="27" s="1"/>
  <c r="AM7" i="27"/>
  <c r="I13" i="27" s="1"/>
  <c r="I10" i="27"/>
  <c r="I12" i="27"/>
  <c r="I20" i="27"/>
  <c r="AM20" i="26"/>
  <c r="AM18" i="26"/>
  <c r="AM17" i="26"/>
  <c r="AM9" i="26"/>
  <c r="AM10" i="26"/>
  <c r="AM13" i="26"/>
  <c r="AM16" i="26"/>
  <c r="AM19" i="26"/>
  <c r="AM22" i="26"/>
  <c r="AM25" i="26"/>
  <c r="AM11" i="26"/>
  <c r="AM12" i="26"/>
  <c r="AM27" i="26"/>
  <c r="AM14" i="26"/>
  <c r="AM26" i="26"/>
  <c r="AM21" i="26"/>
  <c r="AM23" i="26"/>
  <c r="AM15" i="26"/>
  <c r="AM24" i="26"/>
  <c r="I9" i="26"/>
  <c r="I17" i="26"/>
  <c r="I20" i="26"/>
  <c r="I21" i="26"/>
  <c r="I11" i="26"/>
  <c r="I23" i="26"/>
  <c r="I12" i="26"/>
  <c r="I19" i="26"/>
  <c r="I14" i="26"/>
  <c r="I24" i="26"/>
  <c r="I18" i="26"/>
  <c r="I13" i="26"/>
  <c r="I22" i="26"/>
  <c r="I10" i="26"/>
  <c r="I16" i="26"/>
  <c r="I15" i="26"/>
  <c r="AN8" i="34"/>
  <c r="AN7" i="34" s="1"/>
  <c r="AM7" i="34"/>
  <c r="AM28" i="35"/>
  <c r="AM16" i="35"/>
  <c r="AM21" i="35"/>
  <c r="AM9" i="35"/>
  <c r="AM26" i="35"/>
  <c r="AM27" i="35"/>
  <c r="AM15" i="35"/>
  <c r="AM20" i="35"/>
  <c r="AM25" i="35"/>
  <c r="AM19" i="35"/>
  <c r="AM11" i="35"/>
  <c r="AM13" i="35"/>
  <c r="AM18" i="35"/>
  <c r="AM10" i="35"/>
  <c r="AM23" i="35"/>
  <c r="AM17" i="35"/>
  <c r="AM24" i="35"/>
  <c r="AM14" i="35"/>
  <c r="AM12" i="35"/>
  <c r="AM22" i="35"/>
  <c r="AN21" i="35"/>
  <c r="AN9" i="35"/>
  <c r="AN26" i="35"/>
  <c r="AN14" i="35"/>
  <c r="AN19" i="35"/>
  <c r="AN20" i="35"/>
  <c r="AN25" i="35"/>
  <c r="AN13" i="35"/>
  <c r="AN11" i="35"/>
  <c r="AN27" i="35"/>
  <c r="AN18" i="35"/>
  <c r="AN28" i="35"/>
  <c r="AN10" i="35"/>
  <c r="AN17" i="35"/>
  <c r="AN15" i="35"/>
  <c r="AN22" i="35"/>
  <c r="AN12" i="35"/>
  <c r="AN23" i="35"/>
  <c r="AN24" i="35"/>
  <c r="AN16" i="35"/>
  <c r="I11" i="35"/>
  <c r="I18" i="35"/>
  <c r="I24" i="35"/>
  <c r="I17" i="35"/>
  <c r="I25" i="35"/>
  <c r="I21" i="35"/>
  <c r="I16" i="35"/>
  <c r="I10" i="35"/>
  <c r="I15" i="35"/>
  <c r="I9" i="35"/>
  <c r="I13" i="35"/>
  <c r="I20" i="35"/>
  <c r="I12" i="35"/>
  <c r="I14" i="35"/>
  <c r="I27" i="35"/>
  <c r="I19" i="35"/>
  <c r="I23" i="35"/>
  <c r="I22" i="35"/>
  <c r="I26" i="35"/>
  <c r="I28" i="35"/>
  <c r="AN8" i="33"/>
  <c r="AN7" i="33" s="1"/>
  <c r="AM7" i="33"/>
  <c r="AN21" i="32"/>
  <c r="AN9" i="32"/>
  <c r="AN26" i="32"/>
  <c r="AN14" i="32"/>
  <c r="AN19" i="32"/>
  <c r="AN17" i="32"/>
  <c r="AN25" i="32"/>
  <c r="AN23" i="32"/>
  <c r="AN11" i="32"/>
  <c r="AN27" i="32"/>
  <c r="AN24" i="32"/>
  <c r="AN12" i="32"/>
  <c r="AN28" i="32"/>
  <c r="AN16" i="32"/>
  <c r="AN13" i="32"/>
  <c r="AN22" i="32"/>
  <c r="AN20" i="32"/>
  <c r="AN10" i="32"/>
  <c r="AN18" i="32"/>
  <c r="AN15" i="32"/>
  <c r="I26" i="32"/>
  <c r="I12" i="32"/>
  <c r="I21" i="32"/>
  <c r="I15" i="32"/>
  <c r="I16" i="32"/>
  <c r="I13" i="32"/>
  <c r="I25" i="32"/>
  <c r="I14" i="32"/>
  <c r="I10" i="32"/>
  <c r="I22" i="32"/>
  <c r="I19" i="32"/>
  <c r="I23" i="32"/>
  <c r="I20" i="32"/>
  <c r="I27" i="32"/>
  <c r="I11" i="32"/>
  <c r="I24" i="32"/>
  <c r="I18" i="32"/>
  <c r="I28" i="32"/>
  <c r="I9" i="32"/>
  <c r="I17" i="32"/>
  <c r="AM7" i="31"/>
  <c r="AN8" i="31"/>
  <c r="AN7" i="31" s="1"/>
  <c r="AL23" i="30"/>
  <c r="AL11" i="30"/>
  <c r="AL28" i="30"/>
  <c r="AL16" i="30"/>
  <c r="AL21" i="30"/>
  <c r="AL9" i="30"/>
  <c r="AL26" i="30"/>
  <c r="AL14" i="30"/>
  <c r="AL19" i="30"/>
  <c r="AL24" i="30"/>
  <c r="AL12" i="30"/>
  <c r="AL22" i="30"/>
  <c r="AL27" i="30"/>
  <c r="AL18" i="30"/>
  <c r="AL25" i="30"/>
  <c r="AL13" i="30"/>
  <c r="AL20" i="30"/>
  <c r="AL10" i="30"/>
  <c r="AL15" i="30"/>
  <c r="AL17" i="30"/>
  <c r="AM7" i="30"/>
  <c r="AN8" i="30"/>
  <c r="AN7" i="30" s="1"/>
  <c r="I26" i="29"/>
  <c r="I25" i="29"/>
  <c r="I19" i="29"/>
  <c r="I9" i="29"/>
  <c r="I14" i="29"/>
  <c r="I21" i="29"/>
  <c r="I13" i="29"/>
  <c r="I20" i="29"/>
  <c r="I10" i="29"/>
  <c r="I22" i="29"/>
  <c r="I24" i="29"/>
  <c r="I18" i="29"/>
  <c r="I23" i="29"/>
  <c r="I16" i="29"/>
  <c r="I15" i="29"/>
  <c r="I28" i="29"/>
  <c r="I27" i="29"/>
  <c r="I17" i="29"/>
  <c r="I12" i="29"/>
  <c r="I11" i="29"/>
  <c r="AM7" i="28"/>
  <c r="AN8" i="28"/>
  <c r="AN7" i="28" s="1"/>
  <c r="AN19" i="26"/>
  <c r="AN20" i="26"/>
  <c r="AN25" i="26"/>
  <c r="AN13" i="26"/>
  <c r="AN18" i="26"/>
  <c r="AN16" i="26"/>
  <c r="AN24" i="26"/>
  <c r="AN17" i="26"/>
  <c r="AN26" i="26"/>
  <c r="AN23" i="26"/>
  <c r="AN10" i="26"/>
  <c r="AN14" i="26"/>
  <c r="AN11" i="26"/>
  <c r="AN22" i="26"/>
  <c r="AN21" i="26"/>
  <c r="AN15" i="26"/>
  <c r="AN12" i="26"/>
  <c r="AN27" i="26"/>
  <c r="AN9" i="26"/>
  <c r="I26" i="26"/>
  <c r="I27" i="26"/>
  <c r="I25" i="26"/>
  <c r="AU9" i="2"/>
  <c r="I12" i="2"/>
  <c r="I18" i="2"/>
  <c r="I17" i="2"/>
  <c r="I21" i="2"/>
  <c r="I26" i="2"/>
  <c r="I28" i="2"/>
  <c r="I11" i="2"/>
  <c r="I15" i="2"/>
  <c r="I9" i="2"/>
  <c r="I13" i="2"/>
  <c r="I10" i="2"/>
  <c r="I22" i="2"/>
  <c r="I20" i="2"/>
  <c r="I24" i="2"/>
  <c r="I23" i="2"/>
  <c r="I14" i="2"/>
  <c r="I16" i="2"/>
  <c r="I19" i="2"/>
  <c r="I27" i="2"/>
  <c r="I25" i="2"/>
  <c r="AU9" i="27" l="1"/>
  <c r="AW20" i="27"/>
  <c r="AW10" i="27"/>
  <c r="AU25" i="27"/>
  <c r="AV21" i="27"/>
  <c r="AZ21" i="27" s="1"/>
  <c r="BB21" i="27" s="1"/>
  <c r="BC21" i="27" s="1"/>
  <c r="BD21" i="27" s="1"/>
  <c r="AW12" i="27"/>
  <c r="AU27" i="27"/>
  <c r="AW17" i="27"/>
  <c r="AU20" i="27"/>
  <c r="I22" i="27"/>
  <c r="AV20" i="27"/>
  <c r="AZ20" i="27" s="1"/>
  <c r="BB20" i="27" s="1"/>
  <c r="BC20" i="27" s="1"/>
  <c r="BD20" i="27" s="1"/>
  <c r="I26" i="27"/>
  <c r="I14" i="27"/>
  <c r="I28" i="27"/>
  <c r="I16" i="27"/>
  <c r="I21" i="27"/>
  <c r="AM16" i="27"/>
  <c r="AM25" i="27"/>
  <c r="AW25" i="27" s="1"/>
  <c r="AM10" i="27"/>
  <c r="AU10" i="27" s="1"/>
  <c r="AM13" i="27"/>
  <c r="AM19" i="27"/>
  <c r="AM22" i="27"/>
  <c r="AM28" i="27"/>
  <c r="AM12" i="27"/>
  <c r="AM18" i="27"/>
  <c r="AM9" i="27"/>
  <c r="AW9" i="27" s="1"/>
  <c r="AM24" i="27"/>
  <c r="AM27" i="27"/>
  <c r="AW27" i="27" s="1"/>
  <c r="AM11" i="27"/>
  <c r="AM23" i="27"/>
  <c r="AM14" i="27"/>
  <c r="AV14" i="27" s="1"/>
  <c r="AZ14" i="27" s="1"/>
  <c r="BB14" i="27" s="1"/>
  <c r="BC14" i="27" s="1"/>
  <c r="BD14" i="27" s="1"/>
  <c r="AM21" i="27"/>
  <c r="AW21" i="27" s="1"/>
  <c r="AM17" i="27"/>
  <c r="AM20" i="27"/>
  <c r="AM26" i="27"/>
  <c r="AV26" i="27" s="1"/>
  <c r="AZ26" i="27" s="1"/>
  <c r="BB26" i="27" s="1"/>
  <c r="BC26" i="27" s="1"/>
  <c r="BD26" i="27" s="1"/>
  <c r="AM15" i="27"/>
  <c r="AU15" i="27" s="1"/>
  <c r="I15" i="27"/>
  <c r="I25" i="27"/>
  <c r="AV9" i="27"/>
  <c r="AZ9" i="27" s="1"/>
  <c r="BB9" i="27" s="1"/>
  <c r="BC9" i="27" s="1"/>
  <c r="BD9" i="27" s="1"/>
  <c r="I23" i="27"/>
  <c r="AW22" i="27"/>
  <c r="AV22" i="27"/>
  <c r="AZ22" i="27" s="1"/>
  <c r="BB22" i="27" s="1"/>
  <c r="BC22" i="27" s="1"/>
  <c r="BD22" i="27" s="1"/>
  <c r="AU22" i="27"/>
  <c r="I11" i="27"/>
  <c r="I17" i="27"/>
  <c r="I9" i="27"/>
  <c r="I24" i="27"/>
  <c r="AV24" i="27"/>
  <c r="AZ24" i="27" s="1"/>
  <c r="BB24" i="27" s="1"/>
  <c r="BC24" i="27" s="1"/>
  <c r="BD24" i="27" s="1"/>
  <c r="AV25" i="27"/>
  <c r="AZ25" i="27" s="1"/>
  <c r="BB25" i="27" s="1"/>
  <c r="BC25" i="27" s="1"/>
  <c r="BD25" i="27" s="1"/>
  <c r="I27" i="27"/>
  <c r="AV16" i="27"/>
  <c r="AZ16" i="27" s="1"/>
  <c r="BB16" i="27" s="1"/>
  <c r="BC16" i="27" s="1"/>
  <c r="BD16" i="27" s="1"/>
  <c r="AW26" i="27"/>
  <c r="I18" i="27"/>
  <c r="I19" i="27"/>
  <c r="AW15" i="27"/>
  <c r="AV28" i="27"/>
  <c r="AZ28" i="27" s="1"/>
  <c r="BB28" i="27" s="1"/>
  <c r="BC28" i="27" s="1"/>
  <c r="BD28" i="27" s="1"/>
  <c r="I10" i="34"/>
  <c r="I18" i="34"/>
  <c r="I20" i="34"/>
  <c r="I27" i="34"/>
  <c r="I19" i="34"/>
  <c r="I28" i="34"/>
  <c r="I16" i="34"/>
  <c r="I15" i="34"/>
  <c r="I26" i="34"/>
  <c r="I13" i="34"/>
  <c r="I9" i="34"/>
  <c r="I14" i="34"/>
  <c r="I22" i="34"/>
  <c r="I23" i="34"/>
  <c r="I21" i="34"/>
  <c r="I24" i="34"/>
  <c r="I12" i="34"/>
  <c r="I25" i="34"/>
  <c r="I17" i="34"/>
  <c r="I11" i="34"/>
  <c r="AU26" i="35"/>
  <c r="AV26" i="35"/>
  <c r="AZ26" i="35" s="1"/>
  <c r="BB26" i="35" s="1"/>
  <c r="BC26" i="35" s="1"/>
  <c r="BD26" i="35" s="1"/>
  <c r="AW26" i="35"/>
  <c r="AW28" i="35"/>
  <c r="AV28" i="35"/>
  <c r="AZ28" i="35" s="1"/>
  <c r="BB28" i="35" s="1"/>
  <c r="BC28" i="35" s="1"/>
  <c r="BD28" i="35" s="1"/>
  <c r="AU28" i="35"/>
  <c r="AW22" i="35"/>
  <c r="AU22" i="35"/>
  <c r="AV22" i="35"/>
  <c r="AZ22" i="35" s="1"/>
  <c r="BB22" i="35" s="1"/>
  <c r="BC22" i="35" s="1"/>
  <c r="BD22" i="35" s="1"/>
  <c r="AU17" i="35"/>
  <c r="AW17" i="35"/>
  <c r="AV17" i="35"/>
  <c r="AZ17" i="35" s="1"/>
  <c r="BB17" i="35" s="1"/>
  <c r="BC17" i="35" s="1"/>
  <c r="BD17" i="35" s="1"/>
  <c r="AV21" i="35"/>
  <c r="AZ21" i="35" s="1"/>
  <c r="BB21" i="35" s="1"/>
  <c r="BC21" i="35" s="1"/>
  <c r="BD21" i="35" s="1"/>
  <c r="AW21" i="35"/>
  <c r="AU21" i="35"/>
  <c r="AW27" i="35"/>
  <c r="AV27" i="35"/>
  <c r="AZ27" i="35" s="1"/>
  <c r="BB27" i="35" s="1"/>
  <c r="BC27" i="35" s="1"/>
  <c r="BD27" i="35" s="1"/>
  <c r="AU27" i="35"/>
  <c r="AW9" i="35"/>
  <c r="AU9" i="35"/>
  <c r="AV9" i="35"/>
  <c r="AZ9" i="35" s="1"/>
  <c r="BB9" i="35" s="1"/>
  <c r="BC9" i="35" s="1"/>
  <c r="BD9" i="35" s="1"/>
  <c r="AW18" i="35"/>
  <c r="AV18" i="35"/>
  <c r="AZ18" i="35" s="1"/>
  <c r="BB18" i="35" s="1"/>
  <c r="BC18" i="35" s="1"/>
  <c r="BD18" i="35" s="1"/>
  <c r="AU18" i="35"/>
  <c r="AV11" i="35"/>
  <c r="AZ11" i="35" s="1"/>
  <c r="BB11" i="35" s="1"/>
  <c r="BC11" i="35" s="1"/>
  <c r="BD11" i="35" s="1"/>
  <c r="AU11" i="35"/>
  <c r="AW11" i="35"/>
  <c r="AU14" i="35"/>
  <c r="AW14" i="35"/>
  <c r="AV14" i="35"/>
  <c r="AZ14" i="35" s="1"/>
  <c r="BB14" i="35" s="1"/>
  <c r="BC14" i="35" s="1"/>
  <c r="BD14" i="35" s="1"/>
  <c r="AW24" i="35"/>
  <c r="AV24" i="35"/>
  <c r="AZ24" i="35" s="1"/>
  <c r="BB24" i="35" s="1"/>
  <c r="BC24" i="35" s="1"/>
  <c r="BD24" i="35" s="1"/>
  <c r="AU24" i="35"/>
  <c r="AW25" i="35"/>
  <c r="AU25" i="35"/>
  <c r="AV25" i="35"/>
  <c r="AZ25" i="35" s="1"/>
  <c r="BB25" i="35" s="1"/>
  <c r="BC25" i="35" s="1"/>
  <c r="BD25" i="35" s="1"/>
  <c r="AW15" i="35"/>
  <c r="AU15" i="35"/>
  <c r="AV15" i="35"/>
  <c r="AZ15" i="35" s="1"/>
  <c r="BB15" i="35" s="1"/>
  <c r="BC15" i="35" s="1"/>
  <c r="BD15" i="35" s="1"/>
  <c r="AX22" i="35"/>
  <c r="AX10" i="35"/>
  <c r="AX27" i="35"/>
  <c r="AX15" i="35"/>
  <c r="AX20" i="35"/>
  <c r="AX21" i="35"/>
  <c r="AX9" i="35"/>
  <c r="AX26" i="35"/>
  <c r="AX14" i="35"/>
  <c r="AX18" i="35"/>
  <c r="AX24" i="35"/>
  <c r="AX23" i="35"/>
  <c r="AX19" i="35"/>
  <c r="AX13" i="35"/>
  <c r="AX28" i="35"/>
  <c r="AX17" i="35"/>
  <c r="AX12" i="35"/>
  <c r="AX25" i="35"/>
  <c r="AX16" i="35"/>
  <c r="AX11" i="35"/>
  <c r="AV23" i="35"/>
  <c r="AZ23" i="35" s="1"/>
  <c r="BB23" i="35" s="1"/>
  <c r="BC23" i="35" s="1"/>
  <c r="BD23" i="35" s="1"/>
  <c r="AU23" i="35"/>
  <c r="AW23" i="35"/>
  <c r="AV20" i="35"/>
  <c r="AZ20" i="35" s="1"/>
  <c r="BB20" i="35" s="1"/>
  <c r="BC20" i="35" s="1"/>
  <c r="BD20" i="35" s="1"/>
  <c r="AU20" i="35"/>
  <c r="AW20" i="35"/>
  <c r="AW10" i="35"/>
  <c r="AV10" i="35"/>
  <c r="AZ10" i="35" s="1"/>
  <c r="BB10" i="35" s="1"/>
  <c r="BC10" i="35" s="1"/>
  <c r="BD10" i="35" s="1"/>
  <c r="AU10" i="35"/>
  <c r="AV16" i="35"/>
  <c r="AZ16" i="35" s="1"/>
  <c r="BB16" i="35" s="1"/>
  <c r="BC16" i="35" s="1"/>
  <c r="BD16" i="35" s="1"/>
  <c r="AW16" i="35"/>
  <c r="AU16" i="35"/>
  <c r="AU13" i="35"/>
  <c r="AV13" i="35"/>
  <c r="AZ13" i="35" s="1"/>
  <c r="BB13" i="35" s="1"/>
  <c r="BC13" i="35" s="1"/>
  <c r="BD13" i="35" s="1"/>
  <c r="AW13" i="35"/>
  <c r="AW12" i="35"/>
  <c r="AV12" i="35"/>
  <c r="AZ12" i="35" s="1"/>
  <c r="BB12" i="35" s="1"/>
  <c r="BC12" i="35" s="1"/>
  <c r="BD12" i="35" s="1"/>
  <c r="AU12" i="35"/>
  <c r="AW19" i="35"/>
  <c r="AU19" i="35"/>
  <c r="AV19" i="35"/>
  <c r="AZ19" i="35" s="1"/>
  <c r="BB19" i="35" s="1"/>
  <c r="BC19" i="35" s="1"/>
  <c r="BD19" i="35" s="1"/>
  <c r="AN21" i="33"/>
  <c r="AN9" i="33"/>
  <c r="AN26" i="33"/>
  <c r="AN14" i="33"/>
  <c r="AN24" i="33"/>
  <c r="AN19" i="33"/>
  <c r="AN10" i="33"/>
  <c r="AN28" i="33"/>
  <c r="AN18" i="33"/>
  <c r="AN15" i="33"/>
  <c r="AN12" i="33"/>
  <c r="AN22" i="33"/>
  <c r="AN11" i="33"/>
  <c r="AN20" i="33"/>
  <c r="AN25" i="33"/>
  <c r="AN16" i="33"/>
  <c r="AN13" i="33"/>
  <c r="AN23" i="33"/>
  <c r="AN27" i="33"/>
  <c r="AN17" i="33"/>
  <c r="I27" i="33"/>
  <c r="I12" i="33"/>
  <c r="I21" i="33"/>
  <c r="I20" i="33"/>
  <c r="I23" i="33"/>
  <c r="I14" i="33"/>
  <c r="I17" i="33"/>
  <c r="I10" i="33"/>
  <c r="I26" i="33"/>
  <c r="I19" i="33"/>
  <c r="I25" i="33"/>
  <c r="I22" i="33"/>
  <c r="I15" i="33"/>
  <c r="I28" i="33"/>
  <c r="I11" i="33"/>
  <c r="I18" i="33"/>
  <c r="I24" i="33"/>
  <c r="I9" i="33"/>
  <c r="I16" i="33"/>
  <c r="I13" i="33"/>
  <c r="AV15" i="32"/>
  <c r="AZ15" i="32" s="1"/>
  <c r="BB15" i="32" s="1"/>
  <c r="BC15" i="32" s="1"/>
  <c r="BD15" i="32" s="1"/>
  <c r="AU15" i="32"/>
  <c r="AW15" i="32"/>
  <c r="AW10" i="32"/>
  <c r="AU10" i="32"/>
  <c r="AV10" i="32"/>
  <c r="AZ10" i="32" s="1"/>
  <c r="BB10" i="32" s="1"/>
  <c r="BC10" i="32" s="1"/>
  <c r="BD10" i="32" s="1"/>
  <c r="AW17" i="32"/>
  <c r="AU17" i="32"/>
  <c r="AV17" i="32"/>
  <c r="AZ17" i="32" s="1"/>
  <c r="BB17" i="32" s="1"/>
  <c r="BC17" i="32" s="1"/>
  <c r="BD17" i="32" s="1"/>
  <c r="AU12" i="32"/>
  <c r="AW12" i="32"/>
  <c r="AV12" i="32"/>
  <c r="AZ12" i="32" s="1"/>
  <c r="BB12" i="32" s="1"/>
  <c r="BC12" i="32" s="1"/>
  <c r="BD12" i="32" s="1"/>
  <c r="AW24" i="32"/>
  <c r="AV24" i="32"/>
  <c r="AZ24" i="32" s="1"/>
  <c r="BB24" i="32" s="1"/>
  <c r="BC24" i="32" s="1"/>
  <c r="BD24" i="32" s="1"/>
  <c r="AU24" i="32"/>
  <c r="AV27" i="32"/>
  <c r="AZ27" i="32" s="1"/>
  <c r="BB27" i="32" s="1"/>
  <c r="BC27" i="32" s="1"/>
  <c r="BD27" i="32" s="1"/>
  <c r="AU27" i="32"/>
  <c r="AW27" i="32"/>
  <c r="AV18" i="32"/>
  <c r="AZ18" i="32" s="1"/>
  <c r="BB18" i="32" s="1"/>
  <c r="BC18" i="32" s="1"/>
  <c r="BD18" i="32" s="1"/>
  <c r="AW18" i="32"/>
  <c r="AU18" i="32"/>
  <c r="AW25" i="32"/>
  <c r="AU25" i="32"/>
  <c r="AV25" i="32"/>
  <c r="AZ25" i="32" s="1"/>
  <c r="BB25" i="32" s="1"/>
  <c r="BC25" i="32" s="1"/>
  <c r="BD25" i="32" s="1"/>
  <c r="AU20" i="32"/>
  <c r="AV20" i="32"/>
  <c r="AZ20" i="32" s="1"/>
  <c r="BB20" i="32" s="1"/>
  <c r="BC20" i="32" s="1"/>
  <c r="BD20" i="32" s="1"/>
  <c r="AW20" i="32"/>
  <c r="AW19" i="32"/>
  <c r="AU19" i="32"/>
  <c r="AV19" i="32"/>
  <c r="AZ19" i="32" s="1"/>
  <c r="BB19" i="32" s="1"/>
  <c r="BC19" i="32" s="1"/>
  <c r="BD19" i="32" s="1"/>
  <c r="AW11" i="32"/>
  <c r="AU11" i="32"/>
  <c r="AV11" i="32"/>
  <c r="AZ11" i="32" s="1"/>
  <c r="BB11" i="32" s="1"/>
  <c r="BC11" i="32" s="1"/>
  <c r="BD11" i="32" s="1"/>
  <c r="AU23" i="32"/>
  <c r="AW23" i="32"/>
  <c r="AV23" i="32"/>
  <c r="AZ23" i="32" s="1"/>
  <c r="BB23" i="32" s="1"/>
  <c r="BC23" i="32" s="1"/>
  <c r="BD23" i="32" s="1"/>
  <c r="AV22" i="32"/>
  <c r="AZ22" i="32" s="1"/>
  <c r="BB22" i="32" s="1"/>
  <c r="BC22" i="32" s="1"/>
  <c r="BD22" i="32" s="1"/>
  <c r="AW22" i="32"/>
  <c r="AU22" i="32"/>
  <c r="AV14" i="32"/>
  <c r="AZ14" i="32" s="1"/>
  <c r="BB14" i="32" s="1"/>
  <c r="BC14" i="32" s="1"/>
  <c r="BD14" i="32" s="1"/>
  <c r="AW14" i="32"/>
  <c r="AU14" i="32"/>
  <c r="AX22" i="32"/>
  <c r="AX10" i="32"/>
  <c r="AX27" i="32"/>
  <c r="AX15" i="32"/>
  <c r="AX20" i="32"/>
  <c r="AX25" i="32"/>
  <c r="AX18" i="32"/>
  <c r="AX19" i="32"/>
  <c r="AX14" i="32"/>
  <c r="AX28" i="32"/>
  <c r="AX21" i="32"/>
  <c r="AX16" i="32"/>
  <c r="AX9" i="32"/>
  <c r="AX11" i="32"/>
  <c r="AX23" i="32"/>
  <c r="AX13" i="32"/>
  <c r="AX26" i="32"/>
  <c r="AX17" i="32"/>
  <c r="AX24" i="32"/>
  <c r="AX12" i="32"/>
  <c r="AV13" i="32"/>
  <c r="AZ13" i="32" s="1"/>
  <c r="BB13" i="32" s="1"/>
  <c r="BC13" i="32" s="1"/>
  <c r="BD13" i="32" s="1"/>
  <c r="AW13" i="32"/>
  <c r="AU13" i="32"/>
  <c r="AW26" i="32"/>
  <c r="AU26" i="32"/>
  <c r="AV26" i="32"/>
  <c r="AZ26" i="32" s="1"/>
  <c r="BB26" i="32" s="1"/>
  <c r="BC26" i="32" s="1"/>
  <c r="BD26" i="32" s="1"/>
  <c r="AU16" i="32"/>
  <c r="AV16" i="32"/>
  <c r="AZ16" i="32" s="1"/>
  <c r="BB16" i="32" s="1"/>
  <c r="BC16" i="32" s="1"/>
  <c r="BD16" i="32" s="1"/>
  <c r="AW16" i="32"/>
  <c r="AU9" i="32"/>
  <c r="AV9" i="32"/>
  <c r="AZ9" i="32" s="1"/>
  <c r="BB9" i="32" s="1"/>
  <c r="BC9" i="32" s="1"/>
  <c r="BD9" i="32" s="1"/>
  <c r="AW9" i="32"/>
  <c r="AV28" i="32"/>
  <c r="AZ28" i="32" s="1"/>
  <c r="BB28" i="32" s="1"/>
  <c r="BC28" i="32" s="1"/>
  <c r="BD28" i="32" s="1"/>
  <c r="AU28" i="32"/>
  <c r="AW28" i="32"/>
  <c r="AU21" i="32"/>
  <c r="AW21" i="32"/>
  <c r="AV21" i="32"/>
  <c r="AZ21" i="32" s="1"/>
  <c r="BB21" i="32" s="1"/>
  <c r="BC21" i="32" s="1"/>
  <c r="BD21" i="32" s="1"/>
  <c r="I26" i="31"/>
  <c r="I12" i="31"/>
  <c r="I25" i="31"/>
  <c r="I22" i="31"/>
  <c r="I21" i="31"/>
  <c r="I19" i="31"/>
  <c r="I20" i="31"/>
  <c r="I14" i="31"/>
  <c r="I13" i="31"/>
  <c r="I11" i="31"/>
  <c r="I24" i="31"/>
  <c r="I17" i="31"/>
  <c r="I23" i="31"/>
  <c r="I28" i="31"/>
  <c r="I16" i="31"/>
  <c r="I27" i="31"/>
  <c r="I10" i="31"/>
  <c r="I18" i="31"/>
  <c r="I9" i="31"/>
  <c r="I15" i="31"/>
  <c r="AN21" i="30"/>
  <c r="AN9" i="30"/>
  <c r="AN26" i="30"/>
  <c r="AN14" i="30"/>
  <c r="AN19" i="30"/>
  <c r="AN24" i="30"/>
  <c r="AN12" i="30"/>
  <c r="AN27" i="30"/>
  <c r="AN17" i="30"/>
  <c r="AN22" i="30"/>
  <c r="AN10" i="30"/>
  <c r="AN16" i="30"/>
  <c r="AN18" i="30"/>
  <c r="AN13" i="30"/>
  <c r="AN23" i="30"/>
  <c r="AN20" i="30"/>
  <c r="AN15" i="30"/>
  <c r="AN25" i="30"/>
  <c r="AN28" i="30"/>
  <c r="AN11" i="30"/>
  <c r="I18" i="30"/>
  <c r="I17" i="30"/>
  <c r="I27" i="30"/>
  <c r="I22" i="30"/>
  <c r="I19" i="30"/>
  <c r="I25" i="30"/>
  <c r="I20" i="30"/>
  <c r="I24" i="30"/>
  <c r="I10" i="30"/>
  <c r="I16" i="30"/>
  <c r="I28" i="30"/>
  <c r="I14" i="30"/>
  <c r="I15" i="30"/>
  <c r="I23" i="30"/>
  <c r="I12" i="30"/>
  <c r="I13" i="30"/>
  <c r="I11" i="30"/>
  <c r="I21" i="30"/>
  <c r="I9" i="30"/>
  <c r="I26" i="30"/>
  <c r="AV13" i="29"/>
  <c r="AZ13" i="29" s="1"/>
  <c r="BB13" i="29" s="1"/>
  <c r="BC13" i="29" s="1"/>
  <c r="BD13" i="29" s="1"/>
  <c r="AU13" i="29"/>
  <c r="AW13" i="29"/>
  <c r="AV25" i="29"/>
  <c r="AZ25" i="29" s="1"/>
  <c r="BB25" i="29" s="1"/>
  <c r="BC25" i="29" s="1"/>
  <c r="BD25" i="29" s="1"/>
  <c r="AU25" i="29"/>
  <c r="AW25" i="29"/>
  <c r="AV20" i="29"/>
  <c r="AZ20" i="29" s="1"/>
  <c r="BB20" i="29" s="1"/>
  <c r="BC20" i="29" s="1"/>
  <c r="BD20" i="29" s="1"/>
  <c r="AU20" i="29"/>
  <c r="AW20" i="29"/>
  <c r="AW22" i="29"/>
  <c r="AV22" i="29"/>
  <c r="AZ22" i="29" s="1"/>
  <c r="BB22" i="29" s="1"/>
  <c r="BC22" i="29" s="1"/>
  <c r="BD22" i="29" s="1"/>
  <c r="AU22" i="29"/>
  <c r="AW10" i="29"/>
  <c r="AU10" i="29"/>
  <c r="AV10" i="29"/>
  <c r="AZ10" i="29" s="1"/>
  <c r="BB10" i="29" s="1"/>
  <c r="BC10" i="29" s="1"/>
  <c r="BD10" i="29" s="1"/>
  <c r="AV17" i="29"/>
  <c r="AZ17" i="29" s="1"/>
  <c r="BB17" i="29" s="1"/>
  <c r="BC17" i="29" s="1"/>
  <c r="BD17" i="29" s="1"/>
  <c r="AU17" i="29"/>
  <c r="AW17" i="29"/>
  <c r="AW12" i="29"/>
  <c r="AU12" i="29"/>
  <c r="AV12" i="29"/>
  <c r="AZ12" i="29" s="1"/>
  <c r="BB12" i="29" s="1"/>
  <c r="BC12" i="29" s="1"/>
  <c r="BD12" i="29" s="1"/>
  <c r="AU19" i="29"/>
  <c r="AV19" i="29"/>
  <c r="AZ19" i="29" s="1"/>
  <c r="BB19" i="29" s="1"/>
  <c r="BC19" i="29" s="1"/>
  <c r="BD19" i="29" s="1"/>
  <c r="AW19" i="29"/>
  <c r="AV11" i="29"/>
  <c r="AZ11" i="29" s="1"/>
  <c r="BB11" i="29" s="1"/>
  <c r="BC11" i="29" s="1"/>
  <c r="BD11" i="29" s="1"/>
  <c r="AU11" i="29"/>
  <c r="AW11" i="29"/>
  <c r="AW15" i="29"/>
  <c r="AV15" i="29"/>
  <c r="AZ15" i="29" s="1"/>
  <c r="BB15" i="29" s="1"/>
  <c r="BC15" i="29" s="1"/>
  <c r="BD15" i="29" s="1"/>
  <c r="AU15" i="29"/>
  <c r="AV28" i="29"/>
  <c r="AZ28" i="29" s="1"/>
  <c r="BB28" i="29" s="1"/>
  <c r="BC28" i="29" s="1"/>
  <c r="BD28" i="29" s="1"/>
  <c r="AW28" i="29"/>
  <c r="AU28" i="29"/>
  <c r="AW26" i="29"/>
  <c r="AV26" i="29"/>
  <c r="AZ26" i="29" s="1"/>
  <c r="BB26" i="29" s="1"/>
  <c r="BC26" i="29" s="1"/>
  <c r="BD26" i="29" s="1"/>
  <c r="AU26" i="29"/>
  <c r="AV24" i="29"/>
  <c r="AZ24" i="29" s="1"/>
  <c r="BB24" i="29" s="1"/>
  <c r="BC24" i="29" s="1"/>
  <c r="BD24" i="29" s="1"/>
  <c r="AU24" i="29"/>
  <c r="AW24" i="29"/>
  <c r="AU16" i="29"/>
  <c r="AW16" i="29"/>
  <c r="AV16" i="29"/>
  <c r="AZ16" i="29" s="1"/>
  <c r="BB16" i="29" s="1"/>
  <c r="BC16" i="29" s="1"/>
  <c r="BD16" i="29" s="1"/>
  <c r="AV23" i="29"/>
  <c r="AZ23" i="29" s="1"/>
  <c r="BB23" i="29" s="1"/>
  <c r="BC23" i="29" s="1"/>
  <c r="BD23" i="29" s="1"/>
  <c r="AW23" i="29"/>
  <c r="AU23" i="29"/>
  <c r="AU9" i="29"/>
  <c r="AV9" i="29"/>
  <c r="AZ9" i="29" s="1"/>
  <c r="BB9" i="29" s="1"/>
  <c r="BC9" i="29" s="1"/>
  <c r="BD9" i="29" s="1"/>
  <c r="AW9" i="29"/>
  <c r="AX22" i="29"/>
  <c r="AX10" i="29"/>
  <c r="AX27" i="29"/>
  <c r="AX15" i="29"/>
  <c r="AX20" i="29"/>
  <c r="AX23" i="29"/>
  <c r="AX25" i="29"/>
  <c r="AX13" i="29"/>
  <c r="AX18" i="29"/>
  <c r="AX21" i="29"/>
  <c r="AX9" i="29"/>
  <c r="AX26" i="29"/>
  <c r="AX14" i="29"/>
  <c r="AX19" i="29"/>
  <c r="AX28" i="29"/>
  <c r="AX24" i="29"/>
  <c r="AX12" i="29"/>
  <c r="AX16" i="29"/>
  <c r="AX11" i="29"/>
  <c r="AX17" i="29"/>
  <c r="AV27" i="29"/>
  <c r="AZ27" i="29" s="1"/>
  <c r="BB27" i="29" s="1"/>
  <c r="BC27" i="29" s="1"/>
  <c r="BD27" i="29" s="1"/>
  <c r="AU27" i="29"/>
  <c r="AW27" i="29"/>
  <c r="AW14" i="29"/>
  <c r="AU14" i="29"/>
  <c r="AV14" i="29"/>
  <c r="AZ14" i="29" s="1"/>
  <c r="BB14" i="29" s="1"/>
  <c r="BC14" i="29" s="1"/>
  <c r="BD14" i="29" s="1"/>
  <c r="AV18" i="29"/>
  <c r="AZ18" i="29" s="1"/>
  <c r="BB18" i="29" s="1"/>
  <c r="BC18" i="29" s="1"/>
  <c r="BD18" i="29" s="1"/>
  <c r="AW18" i="29"/>
  <c r="AU18" i="29"/>
  <c r="AU21" i="29"/>
  <c r="AV21" i="29"/>
  <c r="AZ21" i="29" s="1"/>
  <c r="BB21" i="29" s="1"/>
  <c r="BC21" i="29" s="1"/>
  <c r="BD21" i="29" s="1"/>
  <c r="AW21" i="29"/>
  <c r="AN21" i="28"/>
  <c r="AN9" i="28"/>
  <c r="AN26" i="28"/>
  <c r="AN14" i="28"/>
  <c r="AN19" i="28"/>
  <c r="AN24" i="28"/>
  <c r="AN12" i="28"/>
  <c r="AN17" i="28"/>
  <c r="AN20" i="28"/>
  <c r="AN25" i="28"/>
  <c r="AN13" i="28"/>
  <c r="AN22" i="28"/>
  <c r="AN27" i="28"/>
  <c r="AN23" i="28"/>
  <c r="AN11" i="28"/>
  <c r="AN10" i="28"/>
  <c r="AN15" i="28"/>
  <c r="AN16" i="28"/>
  <c r="AN28" i="28"/>
  <c r="AN18" i="28"/>
  <c r="I10" i="28"/>
  <c r="I25" i="28"/>
  <c r="I17" i="28"/>
  <c r="I20" i="28"/>
  <c r="I11" i="28"/>
  <c r="I18" i="28"/>
  <c r="I19" i="28"/>
  <c r="I26" i="28"/>
  <c r="I22" i="28"/>
  <c r="I12" i="28"/>
  <c r="I9" i="28"/>
  <c r="I15" i="28"/>
  <c r="I24" i="28"/>
  <c r="I27" i="28"/>
  <c r="I21" i="28"/>
  <c r="I14" i="28"/>
  <c r="I28" i="28"/>
  <c r="I23" i="28"/>
  <c r="I13" i="28"/>
  <c r="I16" i="28"/>
  <c r="AW26" i="26"/>
  <c r="AU26" i="26"/>
  <c r="AV26" i="26"/>
  <c r="AZ26" i="26" s="1"/>
  <c r="BB26" i="26" s="1"/>
  <c r="BC26" i="26" s="1"/>
  <c r="BD26" i="26" s="1"/>
  <c r="AU13" i="26"/>
  <c r="AV13" i="26"/>
  <c r="AZ13" i="26" s="1"/>
  <c r="BB13" i="26" s="1"/>
  <c r="BC13" i="26" s="1"/>
  <c r="BD13" i="26" s="1"/>
  <c r="AW13" i="26"/>
  <c r="AU11" i="26"/>
  <c r="AW11" i="26"/>
  <c r="AV11" i="26"/>
  <c r="AZ11" i="26" s="1"/>
  <c r="BB11" i="26" s="1"/>
  <c r="BC11" i="26" s="1"/>
  <c r="BD11" i="26" s="1"/>
  <c r="AU17" i="26"/>
  <c r="AW17" i="26"/>
  <c r="AV17" i="26"/>
  <c r="AZ17" i="26" s="1"/>
  <c r="BB17" i="26" s="1"/>
  <c r="BC17" i="26" s="1"/>
  <c r="BD17" i="26" s="1"/>
  <c r="AU21" i="26"/>
  <c r="AW21" i="26"/>
  <c r="AV21" i="26"/>
  <c r="AZ21" i="26" s="1"/>
  <c r="BB21" i="26" s="1"/>
  <c r="BC21" i="26" s="1"/>
  <c r="BD21" i="26" s="1"/>
  <c r="AW23" i="26"/>
  <c r="AU23" i="26"/>
  <c r="AV23" i="26"/>
  <c r="AZ23" i="26" s="1"/>
  <c r="BB23" i="26" s="1"/>
  <c r="BC23" i="26" s="1"/>
  <c r="BD23" i="26" s="1"/>
  <c r="AV9" i="26"/>
  <c r="AZ9" i="26" s="1"/>
  <c r="BB9" i="26" s="1"/>
  <c r="BC9" i="26" s="1"/>
  <c r="BD9" i="26" s="1"/>
  <c r="AU9" i="26"/>
  <c r="AW9" i="26"/>
  <c r="AW24" i="26"/>
  <c r="AV24" i="26"/>
  <c r="AZ24" i="26" s="1"/>
  <c r="BB24" i="26" s="1"/>
  <c r="BC24" i="26" s="1"/>
  <c r="BD24" i="26" s="1"/>
  <c r="AU24" i="26"/>
  <c r="AW14" i="26"/>
  <c r="AU14" i="26"/>
  <c r="AV14" i="26"/>
  <c r="AZ14" i="26" s="1"/>
  <c r="BB14" i="26" s="1"/>
  <c r="BC14" i="26" s="1"/>
  <c r="BD14" i="26" s="1"/>
  <c r="AV19" i="26"/>
  <c r="AZ19" i="26" s="1"/>
  <c r="BB19" i="26" s="1"/>
  <c r="BC19" i="26" s="1"/>
  <c r="BD19" i="26" s="1"/>
  <c r="AU19" i="26"/>
  <c r="AW19" i="26"/>
  <c r="AW10" i="26"/>
  <c r="AV10" i="26"/>
  <c r="AZ10" i="26" s="1"/>
  <c r="BB10" i="26" s="1"/>
  <c r="BC10" i="26" s="1"/>
  <c r="BD10" i="26" s="1"/>
  <c r="AU10" i="26"/>
  <c r="AU27" i="26"/>
  <c r="AW27" i="26"/>
  <c r="AV27" i="26"/>
  <c r="AZ27" i="26" s="1"/>
  <c r="BB27" i="26" s="1"/>
  <c r="BC27" i="26" s="1"/>
  <c r="BD27" i="26" s="1"/>
  <c r="AU16" i="26"/>
  <c r="AW16" i="26"/>
  <c r="AV16" i="26"/>
  <c r="AZ16" i="26" s="1"/>
  <c r="BB16" i="26" s="1"/>
  <c r="BC16" i="26" s="1"/>
  <c r="BD16" i="26" s="1"/>
  <c r="AW22" i="26"/>
  <c r="AV22" i="26"/>
  <c r="AZ22" i="26" s="1"/>
  <c r="BB22" i="26" s="1"/>
  <c r="BC22" i="26" s="1"/>
  <c r="BD22" i="26" s="1"/>
  <c r="AU22" i="26"/>
  <c r="AW25" i="26"/>
  <c r="AV25" i="26"/>
  <c r="AZ25" i="26" s="1"/>
  <c r="BB25" i="26" s="1"/>
  <c r="BC25" i="26" s="1"/>
  <c r="BD25" i="26" s="1"/>
  <c r="AU25" i="26"/>
  <c r="AW20" i="26"/>
  <c r="AV20" i="26"/>
  <c r="AZ20" i="26" s="1"/>
  <c r="BB20" i="26" s="1"/>
  <c r="BC20" i="26" s="1"/>
  <c r="BD20" i="26" s="1"/>
  <c r="AU20" i="26"/>
  <c r="AX20" i="26"/>
  <c r="AX25" i="26"/>
  <c r="AX28" i="26"/>
  <c r="AX21" i="26"/>
  <c r="AX26" i="26"/>
  <c r="AX14" i="26"/>
  <c r="AX19" i="26"/>
  <c r="AX17" i="26"/>
  <c r="AX23" i="26"/>
  <c r="AX22" i="26"/>
  <c r="AX11" i="26"/>
  <c r="AX15" i="26"/>
  <c r="AX12" i="26"/>
  <c r="AX24" i="26"/>
  <c r="AX27" i="26"/>
  <c r="AX18" i="26"/>
  <c r="AX13" i="26"/>
  <c r="AX9" i="26"/>
  <c r="AX10" i="26"/>
  <c r="AX16" i="26"/>
  <c r="AW12" i="26"/>
  <c r="AV12" i="26"/>
  <c r="AZ12" i="26" s="1"/>
  <c r="BB12" i="26" s="1"/>
  <c r="BC12" i="26" s="1"/>
  <c r="BD12" i="26" s="1"/>
  <c r="AU12" i="26"/>
  <c r="AU28" i="26"/>
  <c r="AW28" i="26"/>
  <c r="AV28" i="26"/>
  <c r="AZ28" i="26" s="1"/>
  <c r="BB28" i="26" s="1"/>
  <c r="BC28" i="26" s="1"/>
  <c r="BD28" i="26" s="1"/>
  <c r="AW15" i="26"/>
  <c r="AV15" i="26"/>
  <c r="AZ15" i="26" s="1"/>
  <c r="BB15" i="26" s="1"/>
  <c r="BC15" i="26" s="1"/>
  <c r="BD15" i="26" s="1"/>
  <c r="AU15" i="26"/>
  <c r="AU18" i="26"/>
  <c r="AV18" i="26"/>
  <c r="AZ18" i="26" s="1"/>
  <c r="BB18" i="26" s="1"/>
  <c r="BC18" i="26" s="1"/>
  <c r="BD18" i="26" s="1"/>
  <c r="AW18" i="26"/>
  <c r="AX21" i="2"/>
  <c r="AX10" i="2"/>
  <c r="AX22" i="2"/>
  <c r="AX11" i="2"/>
  <c r="AX23" i="2"/>
  <c r="AX25" i="2"/>
  <c r="AX12" i="2"/>
  <c r="AX24" i="2"/>
  <c r="AX13" i="2"/>
  <c r="AX14" i="2"/>
  <c r="AX15" i="2"/>
  <c r="AX27" i="2"/>
  <c r="AX16" i="2"/>
  <c r="AX28" i="2"/>
  <c r="AX9" i="2"/>
  <c r="AX17" i="2"/>
  <c r="AX18" i="2"/>
  <c r="AX19" i="2"/>
  <c r="AX20" i="2"/>
  <c r="AX26" i="2"/>
  <c r="AV10" i="2"/>
  <c r="AZ10" i="2" s="1"/>
  <c r="BB10" i="2" s="1"/>
  <c r="BC10" i="2" s="1"/>
  <c r="BD10" i="2" s="1"/>
  <c r="AW10" i="2"/>
  <c r="AU10" i="2"/>
  <c r="AW26" i="2"/>
  <c r="AU26" i="2"/>
  <c r="AV26" i="2"/>
  <c r="AZ26" i="2" s="1"/>
  <c r="BB26" i="2" s="1"/>
  <c r="BC26" i="2" s="1"/>
  <c r="BD26" i="2" s="1"/>
  <c r="AU27" i="2"/>
  <c r="AW27" i="2"/>
  <c r="AV27" i="2"/>
  <c r="AZ27" i="2" s="1"/>
  <c r="BB27" i="2" s="1"/>
  <c r="BC27" i="2" s="1"/>
  <c r="BD27" i="2" s="1"/>
  <c r="AV9" i="2"/>
  <c r="AZ9" i="2" s="1"/>
  <c r="BB9" i="2" s="1"/>
  <c r="BC9" i="2" s="1"/>
  <c r="BD9" i="2" s="1"/>
  <c r="AW9" i="2"/>
  <c r="AW14" i="2"/>
  <c r="AV14" i="2"/>
  <c r="AZ14" i="2" s="1"/>
  <c r="BB14" i="2" s="1"/>
  <c r="BC14" i="2" s="1"/>
  <c r="BD14" i="2" s="1"/>
  <c r="AU14" i="2"/>
  <c r="AU18" i="2"/>
  <c r="AV18" i="2"/>
  <c r="AZ18" i="2" s="1"/>
  <c r="BB18" i="2" s="1"/>
  <c r="BC18" i="2" s="1"/>
  <c r="BD18" i="2" s="1"/>
  <c r="AW18" i="2"/>
  <c r="AV15" i="2"/>
  <c r="AZ15" i="2" s="1"/>
  <c r="BB15" i="2" s="1"/>
  <c r="BC15" i="2" s="1"/>
  <c r="BD15" i="2" s="1"/>
  <c r="AW15" i="2"/>
  <c r="AU15" i="2"/>
  <c r="AU24" i="2"/>
  <c r="AV24" i="2"/>
  <c r="AZ24" i="2" s="1"/>
  <c r="BB24" i="2" s="1"/>
  <c r="BC24" i="2" s="1"/>
  <c r="BD24" i="2" s="1"/>
  <c r="AW24" i="2"/>
  <c r="AU28" i="2"/>
  <c r="AW28" i="2"/>
  <c r="AV28" i="2"/>
  <c r="AZ28" i="2" s="1"/>
  <c r="BB28" i="2" s="1"/>
  <c r="BC28" i="2" s="1"/>
  <c r="BD28" i="2" s="1"/>
  <c r="AU22" i="2"/>
  <c r="AW22" i="2"/>
  <c r="AV22" i="2"/>
  <c r="AZ22" i="2" s="1"/>
  <c r="BB22" i="2" s="1"/>
  <c r="BC22" i="2" s="1"/>
  <c r="BD22" i="2" s="1"/>
  <c r="AU16" i="2"/>
  <c r="AV16" i="2"/>
  <c r="AZ16" i="2" s="1"/>
  <c r="BB16" i="2" s="1"/>
  <c r="BC16" i="2" s="1"/>
  <c r="BD16" i="2" s="1"/>
  <c r="AW16" i="2"/>
  <c r="AU12" i="2"/>
  <c r="AW12" i="2"/>
  <c r="AV12" i="2"/>
  <c r="AZ12" i="2" s="1"/>
  <c r="BB12" i="2" s="1"/>
  <c r="BC12" i="2" s="1"/>
  <c r="BD12" i="2" s="1"/>
  <c r="AW25" i="2"/>
  <c r="AU25" i="2"/>
  <c r="AV25" i="2"/>
  <c r="AZ25" i="2" s="1"/>
  <c r="BB25" i="2" s="1"/>
  <c r="BC25" i="2" s="1"/>
  <c r="BD25" i="2" s="1"/>
  <c r="AU11" i="2"/>
  <c r="AV11" i="2"/>
  <c r="AZ11" i="2" s="1"/>
  <c r="BB11" i="2" s="1"/>
  <c r="BC11" i="2" s="1"/>
  <c r="BD11" i="2" s="1"/>
  <c r="AU20" i="2"/>
  <c r="AV20" i="2"/>
  <c r="AZ20" i="2" s="1"/>
  <c r="BB20" i="2" s="1"/>
  <c r="BC20" i="2" s="1"/>
  <c r="BD20" i="2" s="1"/>
  <c r="AW20" i="2"/>
  <c r="AV19" i="2"/>
  <c r="AZ19" i="2" s="1"/>
  <c r="BB19" i="2" s="1"/>
  <c r="BC19" i="2" s="1"/>
  <c r="BD19" i="2" s="1"/>
  <c r="AU19" i="2"/>
  <c r="AW19" i="2"/>
  <c r="AU21" i="2"/>
  <c r="AW21" i="2"/>
  <c r="AV21" i="2"/>
  <c r="AZ21" i="2" s="1"/>
  <c r="BB21" i="2" s="1"/>
  <c r="BC21" i="2" s="1"/>
  <c r="BD21" i="2" s="1"/>
  <c r="AV17" i="2"/>
  <c r="AZ17" i="2" s="1"/>
  <c r="BB17" i="2" s="1"/>
  <c r="BC17" i="2" s="1"/>
  <c r="BD17" i="2" s="1"/>
  <c r="AW17" i="2"/>
  <c r="AU17" i="2"/>
  <c r="AU23" i="2"/>
  <c r="AW23" i="2"/>
  <c r="AV23" i="2"/>
  <c r="AZ23" i="2" s="1"/>
  <c r="BB23" i="2" s="1"/>
  <c r="BC23" i="2" s="1"/>
  <c r="BD23" i="2" s="1"/>
  <c r="AV13" i="2"/>
  <c r="AZ13" i="2" s="1"/>
  <c r="BB13" i="2" s="1"/>
  <c r="BC13" i="2" s="1"/>
  <c r="BD13" i="2" s="1"/>
  <c r="AW13" i="2"/>
  <c r="AU13" i="2"/>
  <c r="AU13" i="27" l="1"/>
  <c r="AW13" i="27"/>
  <c r="AV13" i="27"/>
  <c r="AZ13" i="27" s="1"/>
  <c r="BB13" i="27" s="1"/>
  <c r="BC13" i="27" s="1"/>
  <c r="BD13" i="27" s="1"/>
  <c r="AU12" i="27"/>
  <c r="AV11" i="27"/>
  <c r="AZ11" i="27" s="1"/>
  <c r="BB11" i="27" s="1"/>
  <c r="BC11" i="27" s="1"/>
  <c r="BD11" i="27" s="1"/>
  <c r="AW11" i="27"/>
  <c r="AW16" i="27"/>
  <c r="AU16" i="27"/>
  <c r="AU11" i="27"/>
  <c r="AV10" i="27"/>
  <c r="AZ10" i="27" s="1"/>
  <c r="BB10" i="27" s="1"/>
  <c r="BC10" i="27" s="1"/>
  <c r="BD10" i="27" s="1"/>
  <c r="AW14" i="27"/>
  <c r="AU26" i="27"/>
  <c r="AW18" i="27"/>
  <c r="AV18" i="27"/>
  <c r="AZ18" i="27" s="1"/>
  <c r="BB18" i="27" s="1"/>
  <c r="BC18" i="27" s="1"/>
  <c r="BD18" i="27" s="1"/>
  <c r="AU18" i="27"/>
  <c r="AV17" i="27"/>
  <c r="AZ17" i="27" s="1"/>
  <c r="BB17" i="27" s="1"/>
  <c r="BC17" i="27" s="1"/>
  <c r="BD17" i="27" s="1"/>
  <c r="AU17" i="27"/>
  <c r="AV27" i="27"/>
  <c r="AZ27" i="27" s="1"/>
  <c r="BB27" i="27" s="1"/>
  <c r="BC27" i="27" s="1"/>
  <c r="BD27" i="27" s="1"/>
  <c r="AU14" i="27"/>
  <c r="AU21" i="27"/>
  <c r="AV15" i="27"/>
  <c r="AZ15" i="27" s="1"/>
  <c r="BB15" i="27" s="1"/>
  <c r="BC15" i="27" s="1"/>
  <c r="BD15" i="27" s="1"/>
  <c r="AV12" i="27"/>
  <c r="AZ12" i="27" s="1"/>
  <c r="BB12" i="27" s="1"/>
  <c r="BC12" i="27" s="1"/>
  <c r="BD12" i="27" s="1"/>
  <c r="AU19" i="27"/>
  <c r="AV19" i="27"/>
  <c r="AZ19" i="27" s="1"/>
  <c r="BB19" i="27" s="1"/>
  <c r="BC19" i="27" s="1"/>
  <c r="BD19" i="27" s="1"/>
  <c r="AV23" i="27"/>
  <c r="AZ23" i="27" s="1"/>
  <c r="BB23" i="27" s="1"/>
  <c r="BC23" i="27" s="1"/>
  <c r="BD23" i="27" s="1"/>
  <c r="AW23" i="27"/>
  <c r="AU23" i="27"/>
  <c r="AX25" i="27"/>
  <c r="AX12" i="27"/>
  <c r="AX14" i="27"/>
  <c r="AX22" i="27"/>
  <c r="AX21" i="27"/>
  <c r="AX11" i="27"/>
  <c r="AX13" i="27"/>
  <c r="AX19" i="27"/>
  <c r="AX9" i="27"/>
  <c r="AX26" i="27"/>
  <c r="AX23" i="27"/>
  <c r="AX17" i="27"/>
  <c r="AX16" i="27"/>
  <c r="AX18" i="27"/>
  <c r="AX27" i="27"/>
  <c r="AX24" i="27"/>
  <c r="AX28" i="27"/>
  <c r="AX10" i="27"/>
  <c r="AX15" i="27"/>
  <c r="AX20" i="27"/>
  <c r="AU24" i="27"/>
  <c r="AW24" i="27"/>
  <c r="AW19" i="27"/>
  <c r="AW28" i="27"/>
  <c r="AU28" i="27"/>
  <c r="AV12" i="34"/>
  <c r="AZ12" i="34" s="1"/>
  <c r="BB12" i="34" s="1"/>
  <c r="BC12" i="34" s="1"/>
  <c r="BD12" i="34" s="1"/>
  <c r="AU12" i="34"/>
  <c r="AW12" i="34"/>
  <c r="AV22" i="34"/>
  <c r="AZ22" i="34" s="1"/>
  <c r="BB22" i="34" s="1"/>
  <c r="BC22" i="34" s="1"/>
  <c r="BD22" i="34" s="1"/>
  <c r="AU22" i="34"/>
  <c r="AW22" i="34"/>
  <c r="AU11" i="34"/>
  <c r="AW11" i="34"/>
  <c r="AV11" i="34"/>
  <c r="AZ11" i="34" s="1"/>
  <c r="BB11" i="34" s="1"/>
  <c r="BC11" i="34" s="1"/>
  <c r="BD11" i="34" s="1"/>
  <c r="AV23" i="34"/>
  <c r="AZ23" i="34" s="1"/>
  <c r="BB23" i="34" s="1"/>
  <c r="BC23" i="34" s="1"/>
  <c r="BD23" i="34" s="1"/>
  <c r="AW23" i="34"/>
  <c r="AU23" i="34"/>
  <c r="AV20" i="34"/>
  <c r="AZ20" i="34" s="1"/>
  <c r="BB20" i="34" s="1"/>
  <c r="BC20" i="34" s="1"/>
  <c r="BD20" i="34" s="1"/>
  <c r="AW20" i="34"/>
  <c r="AU20" i="34"/>
  <c r="AU9" i="34"/>
  <c r="AW9" i="34"/>
  <c r="AV9" i="34"/>
  <c r="AZ9" i="34" s="1"/>
  <c r="BB9" i="34" s="1"/>
  <c r="BC9" i="34" s="1"/>
  <c r="BD9" i="34" s="1"/>
  <c r="AV16" i="34"/>
  <c r="AZ16" i="34" s="1"/>
  <c r="BB16" i="34" s="1"/>
  <c r="BC16" i="34" s="1"/>
  <c r="BD16" i="34" s="1"/>
  <c r="AU16" i="34"/>
  <c r="AW16" i="34"/>
  <c r="AW15" i="34"/>
  <c r="AU15" i="34"/>
  <c r="AV15" i="34"/>
  <c r="AZ15" i="34" s="1"/>
  <c r="BB15" i="34" s="1"/>
  <c r="BC15" i="34" s="1"/>
  <c r="BD15" i="34" s="1"/>
  <c r="AW24" i="34"/>
  <c r="AU24" i="34"/>
  <c r="AV24" i="34"/>
  <c r="AZ24" i="34" s="1"/>
  <c r="BB24" i="34" s="1"/>
  <c r="BC24" i="34" s="1"/>
  <c r="BD24" i="34" s="1"/>
  <c r="AV13" i="34"/>
  <c r="AZ13" i="34" s="1"/>
  <c r="BB13" i="34" s="1"/>
  <c r="BC13" i="34" s="1"/>
  <c r="BD13" i="34" s="1"/>
  <c r="AU13" i="34"/>
  <c r="AW13" i="34"/>
  <c r="AU18" i="34"/>
  <c r="AV18" i="34"/>
  <c r="AZ18" i="34" s="1"/>
  <c r="BB18" i="34" s="1"/>
  <c r="BC18" i="34" s="1"/>
  <c r="BD18" i="34" s="1"/>
  <c r="AW18" i="34"/>
  <c r="AW14" i="34"/>
  <c r="AV14" i="34"/>
  <c r="AZ14" i="34" s="1"/>
  <c r="BB14" i="34" s="1"/>
  <c r="BC14" i="34" s="1"/>
  <c r="BD14" i="34" s="1"/>
  <c r="AU14" i="34"/>
  <c r="AU26" i="34"/>
  <c r="AW26" i="34"/>
  <c r="AV26" i="34"/>
  <c r="AZ26" i="34" s="1"/>
  <c r="BB26" i="34" s="1"/>
  <c r="BC26" i="34" s="1"/>
  <c r="BD26" i="34" s="1"/>
  <c r="AX22" i="34"/>
  <c r="AX10" i="34"/>
  <c r="AX25" i="34"/>
  <c r="AX27" i="34"/>
  <c r="AX15" i="34"/>
  <c r="AX20" i="34"/>
  <c r="AX19" i="34"/>
  <c r="AX12" i="34"/>
  <c r="AX16" i="34"/>
  <c r="AX21" i="34"/>
  <c r="AX23" i="34"/>
  <c r="AX13" i="34"/>
  <c r="AX9" i="34"/>
  <c r="AX28" i="34"/>
  <c r="AX26" i="34"/>
  <c r="AX17" i="34"/>
  <c r="AX24" i="34"/>
  <c r="AX14" i="34"/>
  <c r="AX18" i="34"/>
  <c r="AX11" i="34"/>
  <c r="AW10" i="34"/>
  <c r="AU10" i="34"/>
  <c r="AV10" i="34"/>
  <c r="AZ10" i="34" s="1"/>
  <c r="BB10" i="34" s="1"/>
  <c r="BC10" i="34" s="1"/>
  <c r="BD10" i="34" s="1"/>
  <c r="AV27" i="34"/>
  <c r="AZ27" i="34" s="1"/>
  <c r="BB27" i="34" s="1"/>
  <c r="BC27" i="34" s="1"/>
  <c r="BD27" i="34" s="1"/>
  <c r="AW27" i="34"/>
  <c r="AU27" i="34"/>
  <c r="AW21" i="34"/>
  <c r="AV21" i="34"/>
  <c r="AZ21" i="34" s="1"/>
  <c r="BB21" i="34" s="1"/>
  <c r="BC21" i="34" s="1"/>
  <c r="BD21" i="34" s="1"/>
  <c r="AU21" i="34"/>
  <c r="AW28" i="34"/>
  <c r="AV28" i="34"/>
  <c r="AZ28" i="34" s="1"/>
  <c r="BB28" i="34" s="1"/>
  <c r="BC28" i="34" s="1"/>
  <c r="BD28" i="34" s="1"/>
  <c r="AU28" i="34"/>
  <c r="AU25" i="34"/>
  <c r="AW25" i="34"/>
  <c r="AV25" i="34"/>
  <c r="AZ25" i="34" s="1"/>
  <c r="BB25" i="34" s="1"/>
  <c r="BC25" i="34" s="1"/>
  <c r="BD25" i="34" s="1"/>
  <c r="AW17" i="34"/>
  <c r="AU17" i="34"/>
  <c r="AV17" i="34"/>
  <c r="AZ17" i="34" s="1"/>
  <c r="BB17" i="34" s="1"/>
  <c r="BC17" i="34" s="1"/>
  <c r="BD17" i="34" s="1"/>
  <c r="AV19" i="34"/>
  <c r="AZ19" i="34" s="1"/>
  <c r="BB19" i="34" s="1"/>
  <c r="BC19" i="34" s="1"/>
  <c r="BD19" i="34" s="1"/>
  <c r="AU19" i="34"/>
  <c r="AW19" i="34"/>
  <c r="AV20" i="33"/>
  <c r="AZ20" i="33" s="1"/>
  <c r="BB20" i="33" s="1"/>
  <c r="BC20" i="33" s="1"/>
  <c r="BD20" i="33" s="1"/>
  <c r="AW20" i="33"/>
  <c r="AU20" i="33"/>
  <c r="AW11" i="33"/>
  <c r="AU11" i="33"/>
  <c r="AV11" i="33"/>
  <c r="AZ11" i="33" s="1"/>
  <c r="BB11" i="33" s="1"/>
  <c r="BC11" i="33" s="1"/>
  <c r="BD11" i="33" s="1"/>
  <c r="AV22" i="33"/>
  <c r="AZ22" i="33" s="1"/>
  <c r="BB22" i="33" s="1"/>
  <c r="BC22" i="33" s="1"/>
  <c r="BD22" i="33" s="1"/>
  <c r="AW22" i="33"/>
  <c r="AU22" i="33"/>
  <c r="AV26" i="33"/>
  <c r="AZ26" i="33" s="1"/>
  <c r="BB26" i="33" s="1"/>
  <c r="BC26" i="33" s="1"/>
  <c r="BD26" i="33" s="1"/>
  <c r="AU26" i="33"/>
  <c r="AW26" i="33"/>
  <c r="AW9" i="33"/>
  <c r="AU9" i="33"/>
  <c r="AV9" i="33"/>
  <c r="AZ9" i="33" s="1"/>
  <c r="BB9" i="33" s="1"/>
  <c r="BC9" i="33" s="1"/>
  <c r="BD9" i="33" s="1"/>
  <c r="AU21" i="33"/>
  <c r="AW21" i="33"/>
  <c r="AV21" i="33"/>
  <c r="AZ21" i="33" s="1"/>
  <c r="BB21" i="33" s="1"/>
  <c r="BC21" i="33" s="1"/>
  <c r="BD21" i="33" s="1"/>
  <c r="AV12" i="33"/>
  <c r="AZ12" i="33" s="1"/>
  <c r="BB12" i="33" s="1"/>
  <c r="BC12" i="33" s="1"/>
  <c r="BD12" i="33" s="1"/>
  <c r="AU12" i="33"/>
  <c r="AW12" i="33"/>
  <c r="AX22" i="33"/>
  <c r="AX10" i="33"/>
  <c r="AX25" i="33"/>
  <c r="AX27" i="33"/>
  <c r="AX15" i="33"/>
  <c r="AX20" i="33"/>
  <c r="AX24" i="33"/>
  <c r="AX11" i="33"/>
  <c r="AX26" i="33"/>
  <c r="AX28" i="33"/>
  <c r="AX19" i="33"/>
  <c r="AX12" i="33"/>
  <c r="AX16" i="33"/>
  <c r="AX23" i="33"/>
  <c r="AX13" i="33"/>
  <c r="AX9" i="33"/>
  <c r="AX21" i="33"/>
  <c r="AX14" i="33"/>
  <c r="AX17" i="33"/>
  <c r="AX18" i="33"/>
  <c r="AV15" i="33"/>
  <c r="AZ15" i="33" s="1"/>
  <c r="BB15" i="33" s="1"/>
  <c r="BC15" i="33" s="1"/>
  <c r="BD15" i="33" s="1"/>
  <c r="AU15" i="33"/>
  <c r="AW15" i="33"/>
  <c r="AV16" i="33"/>
  <c r="AZ16" i="33" s="1"/>
  <c r="BB16" i="33" s="1"/>
  <c r="BC16" i="33" s="1"/>
  <c r="BD16" i="33" s="1"/>
  <c r="AW16" i="33"/>
  <c r="AU16" i="33"/>
  <c r="AV18" i="33"/>
  <c r="AZ18" i="33" s="1"/>
  <c r="BB18" i="33" s="1"/>
  <c r="BC18" i="33" s="1"/>
  <c r="BD18" i="33" s="1"/>
  <c r="AU18" i="33"/>
  <c r="AW18" i="33"/>
  <c r="AW25" i="33"/>
  <c r="AU25" i="33"/>
  <c r="AV25" i="33"/>
  <c r="AZ25" i="33" s="1"/>
  <c r="BB25" i="33" s="1"/>
  <c r="BC25" i="33" s="1"/>
  <c r="BD25" i="33" s="1"/>
  <c r="AW17" i="33"/>
  <c r="AV17" i="33"/>
  <c r="AZ17" i="33" s="1"/>
  <c r="BB17" i="33" s="1"/>
  <c r="BC17" i="33" s="1"/>
  <c r="BD17" i="33" s="1"/>
  <c r="AU17" i="33"/>
  <c r="AU28" i="33"/>
  <c r="AV28" i="33"/>
  <c r="AZ28" i="33" s="1"/>
  <c r="BB28" i="33" s="1"/>
  <c r="BC28" i="33" s="1"/>
  <c r="BD28" i="33" s="1"/>
  <c r="AW28" i="33"/>
  <c r="AU27" i="33"/>
  <c r="AW27" i="33"/>
  <c r="AV27" i="33"/>
  <c r="AZ27" i="33" s="1"/>
  <c r="BB27" i="33" s="1"/>
  <c r="BC27" i="33" s="1"/>
  <c r="BD27" i="33" s="1"/>
  <c r="AU10" i="33"/>
  <c r="AW10" i="33"/>
  <c r="AV10" i="33"/>
  <c r="AZ10" i="33" s="1"/>
  <c r="BB10" i="33" s="1"/>
  <c r="BC10" i="33" s="1"/>
  <c r="BD10" i="33" s="1"/>
  <c r="AV14" i="33"/>
  <c r="AZ14" i="33" s="1"/>
  <c r="BB14" i="33" s="1"/>
  <c r="BC14" i="33" s="1"/>
  <c r="BD14" i="33" s="1"/>
  <c r="AW14" i="33"/>
  <c r="AU14" i="33"/>
  <c r="AW23" i="33"/>
  <c r="AV23" i="33"/>
  <c r="AZ23" i="33" s="1"/>
  <c r="BB23" i="33" s="1"/>
  <c r="BC23" i="33" s="1"/>
  <c r="BD23" i="33" s="1"/>
  <c r="AU23" i="33"/>
  <c r="AV19" i="33"/>
  <c r="AZ19" i="33" s="1"/>
  <c r="BB19" i="33" s="1"/>
  <c r="BC19" i="33" s="1"/>
  <c r="BD19" i="33" s="1"/>
  <c r="AW19" i="33"/>
  <c r="AU19" i="33"/>
  <c r="AU13" i="33"/>
  <c r="AW13" i="33"/>
  <c r="AV13" i="33"/>
  <c r="AZ13" i="33" s="1"/>
  <c r="BB13" i="33" s="1"/>
  <c r="BC13" i="33" s="1"/>
  <c r="BD13" i="33" s="1"/>
  <c r="AU24" i="33"/>
  <c r="AW24" i="33"/>
  <c r="AV24" i="33"/>
  <c r="AZ24" i="33" s="1"/>
  <c r="BB24" i="33" s="1"/>
  <c r="BC24" i="33" s="1"/>
  <c r="BD24" i="33" s="1"/>
  <c r="AW23" i="31"/>
  <c r="AV23" i="31"/>
  <c r="AZ23" i="31" s="1"/>
  <c r="BB23" i="31" s="1"/>
  <c r="BC23" i="31" s="1"/>
  <c r="BD23" i="31" s="1"/>
  <c r="AU23" i="31"/>
  <c r="AU16" i="31"/>
  <c r="AW16" i="31"/>
  <c r="AV16" i="31"/>
  <c r="AZ16" i="31" s="1"/>
  <c r="BB16" i="31" s="1"/>
  <c r="BC16" i="31" s="1"/>
  <c r="BD16" i="31" s="1"/>
  <c r="AV21" i="31"/>
  <c r="AZ21" i="31" s="1"/>
  <c r="BB21" i="31" s="1"/>
  <c r="BC21" i="31" s="1"/>
  <c r="BD21" i="31" s="1"/>
  <c r="AW21" i="31"/>
  <c r="AU21" i="31"/>
  <c r="AV25" i="31"/>
  <c r="AZ25" i="31" s="1"/>
  <c r="BB25" i="31" s="1"/>
  <c r="BC25" i="31" s="1"/>
  <c r="BD25" i="31" s="1"/>
  <c r="AW25" i="31"/>
  <c r="AU25" i="31"/>
  <c r="AW10" i="31"/>
  <c r="AV10" i="31"/>
  <c r="AZ10" i="31" s="1"/>
  <c r="BB10" i="31" s="1"/>
  <c r="BC10" i="31" s="1"/>
  <c r="BD10" i="31" s="1"/>
  <c r="AU10" i="31"/>
  <c r="AU28" i="31"/>
  <c r="AW28" i="31"/>
  <c r="AV28" i="31"/>
  <c r="AZ28" i="31" s="1"/>
  <c r="BB28" i="31" s="1"/>
  <c r="BC28" i="31" s="1"/>
  <c r="BD28" i="31" s="1"/>
  <c r="AX22" i="31"/>
  <c r="AX10" i="31"/>
  <c r="AX27" i="31"/>
  <c r="AX15" i="31"/>
  <c r="AX20" i="31"/>
  <c r="AX25" i="31"/>
  <c r="AX13" i="31"/>
  <c r="AX28" i="31"/>
  <c r="AX18" i="31"/>
  <c r="AX23" i="31"/>
  <c r="AX11" i="31"/>
  <c r="AX17" i="31"/>
  <c r="AX26" i="31"/>
  <c r="AX12" i="31"/>
  <c r="AX24" i="31"/>
  <c r="AX19" i="31"/>
  <c r="AX16" i="31"/>
  <c r="AX14" i="31"/>
  <c r="AX21" i="31"/>
  <c r="AX9" i="31"/>
  <c r="AW26" i="31"/>
  <c r="AU26" i="31"/>
  <c r="AV26" i="31"/>
  <c r="AZ26" i="31" s="1"/>
  <c r="BB26" i="31" s="1"/>
  <c r="BC26" i="31" s="1"/>
  <c r="BD26" i="31" s="1"/>
  <c r="AU9" i="31"/>
  <c r="AV9" i="31"/>
  <c r="AZ9" i="31" s="1"/>
  <c r="BB9" i="31" s="1"/>
  <c r="BC9" i="31" s="1"/>
  <c r="BD9" i="31" s="1"/>
  <c r="AW9" i="31"/>
  <c r="AV22" i="31"/>
  <c r="AZ22" i="31" s="1"/>
  <c r="BB22" i="31" s="1"/>
  <c r="BC22" i="31" s="1"/>
  <c r="BD22" i="31" s="1"/>
  <c r="AW22" i="31"/>
  <c r="AU22" i="31"/>
  <c r="AU14" i="31"/>
  <c r="AW14" i="31"/>
  <c r="AV14" i="31"/>
  <c r="AZ14" i="31" s="1"/>
  <c r="BB14" i="31" s="1"/>
  <c r="BC14" i="31" s="1"/>
  <c r="BD14" i="31" s="1"/>
  <c r="AW11" i="31"/>
  <c r="AV11" i="31"/>
  <c r="AZ11" i="31" s="1"/>
  <c r="BB11" i="31" s="1"/>
  <c r="BC11" i="31" s="1"/>
  <c r="BD11" i="31" s="1"/>
  <c r="AU11" i="31"/>
  <c r="AW27" i="31"/>
  <c r="AU27" i="31"/>
  <c r="AV27" i="31"/>
  <c r="AZ27" i="31" s="1"/>
  <c r="BB27" i="31" s="1"/>
  <c r="BC27" i="31" s="1"/>
  <c r="BD27" i="31" s="1"/>
  <c r="AW13" i="31"/>
  <c r="AU13" i="31"/>
  <c r="AV13" i="31"/>
  <c r="AZ13" i="31" s="1"/>
  <c r="BB13" i="31" s="1"/>
  <c r="BC13" i="31" s="1"/>
  <c r="BD13" i="31" s="1"/>
  <c r="AW17" i="31"/>
  <c r="AV17" i="31"/>
  <c r="AZ17" i="31" s="1"/>
  <c r="BB17" i="31" s="1"/>
  <c r="BC17" i="31" s="1"/>
  <c r="BD17" i="31" s="1"/>
  <c r="AU17" i="31"/>
  <c r="AV20" i="31"/>
  <c r="AZ20" i="31" s="1"/>
  <c r="BB20" i="31" s="1"/>
  <c r="BC20" i="31" s="1"/>
  <c r="BD20" i="31" s="1"/>
  <c r="AU20" i="31"/>
  <c r="AW20" i="31"/>
  <c r="AU12" i="31"/>
  <c r="AV12" i="31"/>
  <c r="AZ12" i="31" s="1"/>
  <c r="BB12" i="31" s="1"/>
  <c r="BC12" i="31" s="1"/>
  <c r="BD12" i="31" s="1"/>
  <c r="AW12" i="31"/>
  <c r="AU15" i="31"/>
  <c r="AW15" i="31"/>
  <c r="AV15" i="31"/>
  <c r="AZ15" i="31" s="1"/>
  <c r="BB15" i="31" s="1"/>
  <c r="BC15" i="31" s="1"/>
  <c r="BD15" i="31" s="1"/>
  <c r="AW24" i="31"/>
  <c r="AV24" i="31"/>
  <c r="AZ24" i="31" s="1"/>
  <c r="BB24" i="31" s="1"/>
  <c r="BC24" i="31" s="1"/>
  <c r="BD24" i="31" s="1"/>
  <c r="AU24" i="31"/>
  <c r="AV18" i="31"/>
  <c r="AZ18" i="31" s="1"/>
  <c r="BB18" i="31" s="1"/>
  <c r="BC18" i="31" s="1"/>
  <c r="BD18" i="31" s="1"/>
  <c r="AW18" i="31"/>
  <c r="AU18" i="31"/>
  <c r="AW19" i="31"/>
  <c r="AV19" i="31"/>
  <c r="AZ19" i="31" s="1"/>
  <c r="BB19" i="31" s="1"/>
  <c r="BC19" i="31" s="1"/>
  <c r="BD19" i="31" s="1"/>
  <c r="AU19" i="31"/>
  <c r="AW27" i="30"/>
  <c r="AU27" i="30"/>
  <c r="AV27" i="30"/>
  <c r="AZ27" i="30" s="1"/>
  <c r="BB27" i="30" s="1"/>
  <c r="BC27" i="30" s="1"/>
  <c r="BD27" i="30" s="1"/>
  <c r="AW28" i="30"/>
  <c r="AV28" i="30"/>
  <c r="AZ28" i="30" s="1"/>
  <c r="BB28" i="30" s="1"/>
  <c r="BC28" i="30" s="1"/>
  <c r="BD28" i="30" s="1"/>
  <c r="AU28" i="30"/>
  <c r="AV12" i="30"/>
  <c r="AZ12" i="30" s="1"/>
  <c r="BB12" i="30" s="1"/>
  <c r="BC12" i="30" s="1"/>
  <c r="BD12" i="30" s="1"/>
  <c r="AW12" i="30"/>
  <c r="AU12" i="30"/>
  <c r="AU25" i="30"/>
  <c r="AW25" i="30"/>
  <c r="AV25" i="30"/>
  <c r="AZ25" i="30" s="1"/>
  <c r="BB25" i="30" s="1"/>
  <c r="BC25" i="30" s="1"/>
  <c r="BD25" i="30" s="1"/>
  <c r="AV24" i="30"/>
  <c r="AZ24" i="30" s="1"/>
  <c r="BB24" i="30" s="1"/>
  <c r="BC24" i="30" s="1"/>
  <c r="BD24" i="30" s="1"/>
  <c r="AU24" i="30"/>
  <c r="AW24" i="30"/>
  <c r="AV10" i="30"/>
  <c r="AZ10" i="30" s="1"/>
  <c r="BB10" i="30" s="1"/>
  <c r="BC10" i="30" s="1"/>
  <c r="BD10" i="30" s="1"/>
  <c r="AU10" i="30"/>
  <c r="AW10" i="30"/>
  <c r="AW22" i="30"/>
  <c r="AV22" i="30"/>
  <c r="AZ22" i="30" s="1"/>
  <c r="BB22" i="30" s="1"/>
  <c r="BC22" i="30" s="1"/>
  <c r="BD22" i="30" s="1"/>
  <c r="AU22" i="30"/>
  <c r="AW15" i="30"/>
  <c r="AU15" i="30"/>
  <c r="AV15" i="30"/>
  <c r="AZ15" i="30" s="1"/>
  <c r="BB15" i="30" s="1"/>
  <c r="BC15" i="30" s="1"/>
  <c r="BD15" i="30" s="1"/>
  <c r="AW19" i="30"/>
  <c r="AU19" i="30"/>
  <c r="AV19" i="30"/>
  <c r="AZ19" i="30" s="1"/>
  <c r="BB19" i="30" s="1"/>
  <c r="BC19" i="30" s="1"/>
  <c r="BD19" i="30" s="1"/>
  <c r="AU11" i="30"/>
  <c r="AV11" i="30"/>
  <c r="AZ11" i="30" s="1"/>
  <c r="BB11" i="30" s="1"/>
  <c r="BC11" i="30" s="1"/>
  <c r="BD11" i="30" s="1"/>
  <c r="AW11" i="30"/>
  <c r="AU20" i="30"/>
  <c r="AV20" i="30"/>
  <c r="AZ20" i="30" s="1"/>
  <c r="BB20" i="30" s="1"/>
  <c r="BC20" i="30" s="1"/>
  <c r="BD20" i="30" s="1"/>
  <c r="AW20" i="30"/>
  <c r="AU14" i="30"/>
  <c r="AW14" i="30"/>
  <c r="AV14" i="30"/>
  <c r="AZ14" i="30" s="1"/>
  <c r="BB14" i="30" s="1"/>
  <c r="BC14" i="30" s="1"/>
  <c r="BD14" i="30" s="1"/>
  <c r="AX22" i="30"/>
  <c r="AX10" i="30"/>
  <c r="AX27" i="30"/>
  <c r="AX15" i="30"/>
  <c r="AX20" i="30"/>
  <c r="AX25" i="30"/>
  <c r="AX13" i="30"/>
  <c r="AX18" i="30"/>
  <c r="AX23" i="30"/>
  <c r="AX11" i="30"/>
  <c r="AX14" i="30"/>
  <c r="AX17" i="30"/>
  <c r="AX28" i="30"/>
  <c r="AX21" i="30"/>
  <c r="AX24" i="30"/>
  <c r="AX19" i="30"/>
  <c r="AX16" i="30"/>
  <c r="AX9" i="30"/>
  <c r="AX12" i="30"/>
  <c r="AX26" i="30"/>
  <c r="AV23" i="30"/>
  <c r="AZ23" i="30" s="1"/>
  <c r="BB23" i="30" s="1"/>
  <c r="BC23" i="30" s="1"/>
  <c r="BD23" i="30" s="1"/>
  <c r="AW23" i="30"/>
  <c r="AU23" i="30"/>
  <c r="AV26" i="30"/>
  <c r="AZ26" i="30" s="1"/>
  <c r="BB26" i="30" s="1"/>
  <c r="BC26" i="30" s="1"/>
  <c r="BD26" i="30" s="1"/>
  <c r="AU26" i="30"/>
  <c r="AW26" i="30"/>
  <c r="AU16" i="30"/>
  <c r="AW16" i="30"/>
  <c r="AV16" i="30"/>
  <c r="AZ16" i="30" s="1"/>
  <c r="BB16" i="30" s="1"/>
  <c r="BC16" i="30" s="1"/>
  <c r="BD16" i="30" s="1"/>
  <c r="AV17" i="30"/>
  <c r="AZ17" i="30" s="1"/>
  <c r="BB17" i="30" s="1"/>
  <c r="BC17" i="30" s="1"/>
  <c r="BD17" i="30" s="1"/>
  <c r="AW17" i="30"/>
  <c r="AU17" i="30"/>
  <c r="AW13" i="30"/>
  <c r="AV13" i="30"/>
  <c r="AZ13" i="30" s="1"/>
  <c r="BB13" i="30" s="1"/>
  <c r="BC13" i="30" s="1"/>
  <c r="BD13" i="30" s="1"/>
  <c r="AU13" i="30"/>
  <c r="AW9" i="30"/>
  <c r="AV9" i="30"/>
  <c r="AZ9" i="30" s="1"/>
  <c r="BB9" i="30" s="1"/>
  <c r="BC9" i="30" s="1"/>
  <c r="BD9" i="30" s="1"/>
  <c r="AW18" i="30"/>
  <c r="AU18" i="30"/>
  <c r="AV18" i="30"/>
  <c r="AZ18" i="30" s="1"/>
  <c r="BB18" i="30" s="1"/>
  <c r="BC18" i="30" s="1"/>
  <c r="BD18" i="30" s="1"/>
  <c r="AU21" i="30"/>
  <c r="AW21" i="30"/>
  <c r="AV21" i="30"/>
  <c r="AZ21" i="30" s="1"/>
  <c r="BB21" i="30" s="1"/>
  <c r="BC21" i="30" s="1"/>
  <c r="BD21" i="30" s="1"/>
  <c r="AW23" i="28"/>
  <c r="AU23" i="28"/>
  <c r="AV23" i="28"/>
  <c r="AZ23" i="28" s="1"/>
  <c r="BB23" i="28" s="1"/>
  <c r="BC23" i="28" s="1"/>
  <c r="BD23" i="28" s="1"/>
  <c r="AW9" i="28"/>
  <c r="AU9" i="28"/>
  <c r="AV9" i="28"/>
  <c r="AZ9" i="28" s="1"/>
  <c r="BB9" i="28" s="1"/>
  <c r="BC9" i="28" s="1"/>
  <c r="BD9" i="28" s="1"/>
  <c r="AW27" i="28"/>
  <c r="AU27" i="28"/>
  <c r="AV27" i="28"/>
  <c r="AZ27" i="28" s="1"/>
  <c r="BB27" i="28" s="1"/>
  <c r="BC27" i="28" s="1"/>
  <c r="BD27" i="28" s="1"/>
  <c r="AV21" i="28"/>
  <c r="AZ21" i="28" s="1"/>
  <c r="BB21" i="28" s="1"/>
  <c r="BC21" i="28" s="1"/>
  <c r="BD21" i="28" s="1"/>
  <c r="AW21" i="28"/>
  <c r="AU21" i="28"/>
  <c r="AU22" i="28"/>
  <c r="AV22" i="28"/>
  <c r="AZ22" i="28" s="1"/>
  <c r="BB22" i="28" s="1"/>
  <c r="BC22" i="28" s="1"/>
  <c r="BD22" i="28" s="1"/>
  <c r="AW22" i="28"/>
  <c r="AV13" i="28"/>
  <c r="AZ13" i="28" s="1"/>
  <c r="BB13" i="28" s="1"/>
  <c r="BC13" i="28" s="1"/>
  <c r="BD13" i="28" s="1"/>
  <c r="AW13" i="28"/>
  <c r="AU13" i="28"/>
  <c r="AW11" i="28"/>
  <c r="AV11" i="28"/>
  <c r="AZ11" i="28" s="1"/>
  <c r="BB11" i="28" s="1"/>
  <c r="BC11" i="28" s="1"/>
  <c r="BD11" i="28" s="1"/>
  <c r="AU11" i="28"/>
  <c r="AU25" i="28"/>
  <c r="AW25" i="28"/>
  <c r="AV25" i="28"/>
  <c r="AZ25" i="28" s="1"/>
  <c r="BB25" i="28" s="1"/>
  <c r="BC25" i="28" s="1"/>
  <c r="BD25" i="28" s="1"/>
  <c r="AW20" i="28"/>
  <c r="AU20" i="28"/>
  <c r="AV20" i="28"/>
  <c r="AZ20" i="28" s="1"/>
  <c r="BB20" i="28" s="1"/>
  <c r="BC20" i="28" s="1"/>
  <c r="BD20" i="28" s="1"/>
  <c r="AW26" i="28"/>
  <c r="AU26" i="28"/>
  <c r="AV26" i="28"/>
  <c r="AZ26" i="28" s="1"/>
  <c r="BB26" i="28" s="1"/>
  <c r="BC26" i="28" s="1"/>
  <c r="BD26" i="28" s="1"/>
  <c r="AU18" i="28"/>
  <c r="AV18" i="28"/>
  <c r="AZ18" i="28" s="1"/>
  <c r="BB18" i="28" s="1"/>
  <c r="BC18" i="28" s="1"/>
  <c r="BD18" i="28" s="1"/>
  <c r="AW18" i="28"/>
  <c r="AU17" i="28"/>
  <c r="AW17" i="28"/>
  <c r="AV17" i="28"/>
  <c r="AZ17" i="28" s="1"/>
  <c r="BB17" i="28" s="1"/>
  <c r="BC17" i="28" s="1"/>
  <c r="BD17" i="28" s="1"/>
  <c r="AX22" i="28"/>
  <c r="AX10" i="28"/>
  <c r="AX27" i="28"/>
  <c r="AX15" i="28"/>
  <c r="AX20" i="28"/>
  <c r="AX25" i="28"/>
  <c r="AX13" i="28"/>
  <c r="AX18" i="28"/>
  <c r="AX21" i="28"/>
  <c r="AX9" i="28"/>
  <c r="AX26" i="28"/>
  <c r="AX24" i="28"/>
  <c r="AX28" i="28"/>
  <c r="AX23" i="28"/>
  <c r="AX11" i="28"/>
  <c r="AX17" i="28"/>
  <c r="AX12" i="28"/>
  <c r="AX16" i="28"/>
  <c r="AX19" i="28"/>
  <c r="AX14" i="28"/>
  <c r="AV28" i="28"/>
  <c r="AZ28" i="28" s="1"/>
  <c r="BB28" i="28" s="1"/>
  <c r="BC28" i="28" s="1"/>
  <c r="BD28" i="28" s="1"/>
  <c r="AW28" i="28"/>
  <c r="AU28" i="28"/>
  <c r="AV12" i="28"/>
  <c r="AZ12" i="28" s="1"/>
  <c r="BB12" i="28" s="1"/>
  <c r="BC12" i="28" s="1"/>
  <c r="BD12" i="28" s="1"/>
  <c r="AW12" i="28"/>
  <c r="AU12" i="28"/>
  <c r="AU16" i="28"/>
  <c r="AW16" i="28"/>
  <c r="AV16" i="28"/>
  <c r="AZ16" i="28" s="1"/>
  <c r="BB16" i="28" s="1"/>
  <c r="BC16" i="28" s="1"/>
  <c r="BD16" i="28" s="1"/>
  <c r="AV24" i="28"/>
  <c r="AZ24" i="28" s="1"/>
  <c r="BB24" i="28" s="1"/>
  <c r="BC24" i="28" s="1"/>
  <c r="BD24" i="28" s="1"/>
  <c r="AW24" i="28"/>
  <c r="AU24" i="28"/>
  <c r="AU10" i="28"/>
  <c r="AV10" i="28"/>
  <c r="AZ10" i="28" s="1"/>
  <c r="BB10" i="28" s="1"/>
  <c r="BC10" i="28" s="1"/>
  <c r="BD10" i="28" s="1"/>
  <c r="AW10" i="28"/>
  <c r="AV14" i="28"/>
  <c r="AZ14" i="28" s="1"/>
  <c r="BB14" i="28" s="1"/>
  <c r="BC14" i="28" s="1"/>
  <c r="BD14" i="28" s="1"/>
  <c r="AW14" i="28"/>
  <c r="AU14" i="28"/>
  <c r="AW15" i="28"/>
  <c r="AV15" i="28"/>
  <c r="AZ15" i="28" s="1"/>
  <c r="BB15" i="28" s="1"/>
  <c r="BC15" i="28" s="1"/>
  <c r="BD15" i="28" s="1"/>
  <c r="AU15" i="28"/>
  <c r="AU19" i="28"/>
  <c r="AW19" i="28"/>
  <c r="AV19" i="28"/>
  <c r="AZ19" i="28" s="1"/>
  <c r="BB19" i="28" s="1"/>
  <c r="BC19" i="28" s="1"/>
  <c r="BD19" i="28" s="1"/>
</calcChain>
</file>

<file path=xl/sharedStrings.xml><?xml version="1.0" encoding="utf-8"?>
<sst xmlns="http://schemas.openxmlformats.org/spreadsheetml/2006/main" count="7040" uniqueCount="43">
  <si>
    <t>S No</t>
  </si>
  <si>
    <t>Name</t>
  </si>
  <si>
    <t>Employee Id</t>
  </si>
  <si>
    <t>Ayush Rajput</t>
  </si>
  <si>
    <t>Saanvi Mehta</t>
  </si>
  <si>
    <t>vedant lyer</t>
  </si>
  <si>
    <t xml:space="preserve">Piyush Kumar </t>
  </si>
  <si>
    <t>Saloni Kumari</t>
  </si>
  <si>
    <t>Ashish Kumar</t>
  </si>
  <si>
    <t xml:space="preserve">Mithun Rajput </t>
  </si>
  <si>
    <t>Nandkishor Rajput</t>
  </si>
  <si>
    <t>Pawan Rajput</t>
  </si>
  <si>
    <t xml:space="preserve"> Rohit Kumar </t>
  </si>
  <si>
    <t>Shivam Kumar</t>
  </si>
  <si>
    <t xml:space="preserve"> Rajit Rajput </t>
  </si>
  <si>
    <t>Poonam kumari</t>
  </si>
  <si>
    <t xml:space="preserve">Lata devi </t>
  </si>
  <si>
    <t xml:space="preserve">Arpit Kumar </t>
  </si>
  <si>
    <t xml:space="preserve">Rekha Rani </t>
  </si>
  <si>
    <t xml:space="preserve">Abhishek Kumar </t>
  </si>
  <si>
    <t xml:space="preserve">Anshul Kumar </t>
  </si>
  <si>
    <t>Manish Kumar</t>
  </si>
  <si>
    <t xml:space="preserve"> Himanshu Kumar</t>
  </si>
  <si>
    <t xml:space="preserve">S No </t>
  </si>
  <si>
    <t>Employee Name</t>
  </si>
  <si>
    <t>Week Off</t>
  </si>
  <si>
    <t>To</t>
  </si>
  <si>
    <t>From</t>
  </si>
  <si>
    <t>Days</t>
  </si>
  <si>
    <t>Additional Information</t>
  </si>
  <si>
    <t>Present</t>
  </si>
  <si>
    <t>Absent</t>
  </si>
  <si>
    <t>Leave</t>
  </si>
  <si>
    <t xml:space="preserve"> Paid Days</t>
  </si>
  <si>
    <t>Salary</t>
  </si>
  <si>
    <t>Per day Salary</t>
  </si>
  <si>
    <t>Deduction</t>
  </si>
  <si>
    <t>Total Salary</t>
  </si>
  <si>
    <t>P</t>
  </si>
  <si>
    <t>A</t>
  </si>
  <si>
    <t>L</t>
  </si>
  <si>
    <t>Sparkline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</si>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</sst>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[$-409]d\-mmm\-yyyy;@"/>
    <numFmt numFmtId="165" formatCode="dd\-mmm\-yyyy"/>
    <numFmt numFmtId="166" formatCode="dd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2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0" xfId="0" applyFont="1" applyFill="1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64" fontId="6" fillId="0" borderId="0" xfId="0" applyNumberFormat="1" applyFont="1" applyAlignment="1">
      <alignment horizontal="center"/>
    </xf>
    <xf numFmtId="0" fontId="3" fillId="2" borderId="2" xfId="0" applyFont="1" applyFill="1" applyBorder="1"/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2" borderId="3" xfId="0" applyFont="1" applyFill="1" applyBorder="1"/>
    <xf numFmtId="0" fontId="3" fillId="2" borderId="4" xfId="0" applyFont="1" applyFill="1" applyBorder="1"/>
    <xf numFmtId="0" fontId="7" fillId="5" borderId="10" xfId="0" applyFont="1" applyFill="1" applyBorder="1"/>
    <xf numFmtId="166" fontId="7" fillId="5" borderId="11" xfId="0" applyNumberFormat="1" applyFont="1" applyFill="1" applyBorder="1"/>
    <xf numFmtId="166" fontId="7" fillId="5" borderId="12" xfId="0" applyNumberFormat="1" applyFont="1" applyFill="1" applyBorder="1"/>
    <xf numFmtId="0" fontId="0" fillId="0" borderId="5" xfId="0" applyBorder="1"/>
    <xf numFmtId="1" fontId="0" fillId="0" borderId="0" xfId="0" applyNumberFormat="1"/>
    <xf numFmtId="44" fontId="0" fillId="0" borderId="0" xfId="0" applyNumberFormat="1"/>
    <xf numFmtId="0" fontId="0" fillId="3" borderId="0" xfId="0" applyFill="1"/>
    <xf numFmtId="0" fontId="0" fillId="5" borderId="0" xfId="0" applyFill="1"/>
    <xf numFmtId="165" fontId="0" fillId="5" borderId="0" xfId="0" applyNumberFormat="1" applyFill="1"/>
    <xf numFmtId="0" fontId="0" fillId="7" borderId="0" xfId="0" applyFill="1"/>
    <xf numFmtId="0" fontId="4" fillId="3" borderId="0" xfId="0" applyFont="1" applyFill="1"/>
    <xf numFmtId="165" fontId="4" fillId="3" borderId="0" xfId="0" applyNumberFormat="1" applyFont="1" applyFill="1"/>
    <xf numFmtId="1" fontId="4" fillId="3" borderId="0" xfId="0" applyNumberFormat="1" applyFont="1" applyFill="1"/>
    <xf numFmtId="0" fontId="8" fillId="6" borderId="8" xfId="0" applyFont="1" applyFill="1" applyBorder="1" applyAlignment="1">
      <alignment horizontal="center"/>
    </xf>
    <xf numFmtId="0" fontId="8" fillId="6" borderId="9" xfId="0" applyFont="1" applyFill="1" applyBorder="1" applyAlignment="1">
      <alignment horizontal="center"/>
    </xf>
    <xf numFmtId="0" fontId="8" fillId="6" borderId="7" xfId="0" applyFont="1" applyFill="1" applyBorder="1" applyAlignment="1">
      <alignment horizontal="center"/>
    </xf>
  </cellXfs>
  <cellStyles count="1">
    <cellStyle name="Normal" xfId="0" builtinId="0"/>
  </cellStyles>
  <dxfs count="543">
    <dxf>
      <font>
        <b/>
        <i val="0"/>
        <color theme="7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theme="5" tint="-0.24994659260841701"/>
      </font>
    </dxf>
    <dxf>
      <font>
        <b/>
        <i val="0"/>
        <color theme="9" tint="-0.2499465926084170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strike val="0"/>
        <color theme="5" tint="-0.24994659260841701"/>
      </font>
    </dxf>
    <dxf>
      <font>
        <b/>
        <i val="0"/>
        <color theme="9" tint="-0.24994659260841701"/>
      </font>
    </dxf>
    <dxf>
      <font>
        <b/>
        <i val="0"/>
        <color theme="5" tint="-0.499984740745262"/>
      </font>
    </dxf>
    <dxf>
      <font>
        <b/>
        <i val="0"/>
        <color rgb="FFFFC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b/>
        <i val="0"/>
        <color theme="5" tint="-0.24994659260841701"/>
      </font>
    </dxf>
    <dxf>
      <font>
        <b/>
        <i val="0"/>
        <color theme="9" tint="-0.2499465926084170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theme="7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strike val="0"/>
        <color theme="5" tint="-0.24994659260841701"/>
      </font>
    </dxf>
    <dxf>
      <font>
        <b/>
        <i val="0"/>
        <color theme="5" tint="-0.24994659260841701"/>
      </font>
    </dxf>
    <dxf>
      <font>
        <b/>
        <i val="0"/>
        <color theme="9" tint="-0.2499465926084170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/>
      </font>
    </dxf>
    <dxf>
      <font>
        <b/>
        <i val="0"/>
        <color theme="9" tint="-0.24994659260841701"/>
      </font>
    </dxf>
    <dxf>
      <font>
        <b/>
        <i val="0"/>
        <color theme="5" tint="-0.499984740745262"/>
      </font>
    </dxf>
    <dxf>
      <font>
        <b/>
        <i val="0"/>
        <color rgb="FFFFC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theme="5" tint="-0.24994659260841701"/>
      </font>
    </dxf>
    <dxf>
      <font>
        <b/>
        <i val="0"/>
        <color theme="9" tint="-0.2499465926084170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strike val="0"/>
        <color theme="5" tint="-0.24994659260841701"/>
      </font>
    </dxf>
    <dxf>
      <font>
        <b/>
        <i val="0"/>
        <color theme="9" tint="-0.24994659260841701"/>
      </font>
    </dxf>
    <dxf>
      <font>
        <b/>
        <i val="0"/>
        <color theme="5" tint="-0.499984740745262"/>
      </font>
    </dxf>
    <dxf>
      <font>
        <b/>
        <i val="0"/>
        <color rgb="FFFFC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theme="5" tint="-0.24994659260841701"/>
      </font>
    </dxf>
    <dxf>
      <font>
        <b/>
        <i val="0"/>
        <color theme="9" tint="-0.2499465926084170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strike val="0"/>
        <color theme="5" tint="-0.24994659260841701"/>
      </font>
    </dxf>
    <dxf>
      <font>
        <b/>
        <i val="0"/>
        <color theme="9" tint="-0.24994659260841701"/>
      </font>
    </dxf>
    <dxf>
      <font>
        <b/>
        <i val="0"/>
        <color theme="5" tint="-0.499984740745262"/>
      </font>
    </dxf>
    <dxf>
      <font>
        <b/>
        <i val="0"/>
        <color rgb="FFFFC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b/>
        <i val="0"/>
        <color theme="5" tint="-0.24994659260841701"/>
      </font>
    </dxf>
    <dxf>
      <font>
        <b/>
        <i val="0"/>
        <color theme="9" tint="-0.2499465926084170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b/>
        <i val="0"/>
        <strike val="0"/>
        <u val="none"/>
        <color theme="7"/>
      </font>
    </dxf>
    <dxf>
      <font>
        <b/>
        <i val="0"/>
        <strike val="0"/>
        <color theme="5" tint="-0.2499465926084170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499984740745262"/>
      </font>
    </dxf>
    <dxf>
      <font>
        <b/>
        <i val="0"/>
        <color rgb="FFFFC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strike val="0"/>
        <color theme="5" tint="-0.24994659260841701"/>
      </font>
    </dxf>
    <dxf>
      <font>
        <b/>
        <i val="0"/>
        <color theme="7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strike val="0"/>
        <color theme="5" tint="-0.2499465926084170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strike val="0"/>
        <color theme="5" tint="-0.2499465926084170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strike val="0"/>
        <color theme="5" tint="-0.24994659260841701"/>
      </font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strike val="0"/>
        <color theme="5" tint="-0.24994659260841701"/>
      </font>
    </dxf>
    <dxf>
      <font>
        <b/>
        <i val="0"/>
        <color theme="9" tint="-0.24994659260841701"/>
      </font>
    </dxf>
    <dxf>
      <font>
        <b/>
        <i val="0"/>
        <color rgb="FFFFC000"/>
      </font>
    </dxf>
    <dxf>
      <font>
        <b/>
        <i val="0"/>
        <color theme="5" tint="-0.499984740745262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theme="5" tint="-0.24994659260841701"/>
      </font>
    </dxf>
    <dxf>
      <font>
        <b/>
        <i val="0"/>
        <color theme="9" tint="-0.2499465926084170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theme="7"/>
      </font>
    </dxf>
    <dxf>
      <font>
        <b/>
        <i val="0"/>
        <color theme="5" tint="-0.24994659260841701"/>
      </font>
    </dxf>
    <dxf>
      <font>
        <b/>
        <i val="0"/>
        <color theme="9" tint="-0.2499465926084170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strike val="0"/>
        <color theme="5" tint="-0.2499465926084170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b/>
        <i val="0"/>
        <color theme="5" tint="-0.499984740745262"/>
      </font>
    </dxf>
    <dxf>
      <font>
        <b/>
        <i val="0"/>
        <color theme="9" tint="-0.24994659260841701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theme="7"/>
      </font>
    </dxf>
    <dxf>
      <font>
        <b/>
        <i val="0"/>
        <color theme="5" tint="-0.24994659260841701"/>
      </font>
    </dxf>
    <dxf>
      <font>
        <b/>
        <i val="0"/>
        <color theme="9" tint="-0.24994659260841701"/>
      </font>
    </dxf>
    <dxf>
      <font>
        <b/>
        <i val="0"/>
        <color rgb="FFFFC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b/>
        <i val="0"/>
        <strike val="0"/>
        <u val="none"/>
        <color theme="7"/>
      </font>
    </dxf>
    <dxf>
      <font>
        <b/>
        <i val="0"/>
        <strike val="0"/>
        <color theme="5" tint="-0.2499465926084170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499984740745262"/>
      </font>
    </dxf>
    <dxf>
      <font>
        <b/>
        <i val="0"/>
        <color rgb="FFFFC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strike val="0"/>
        <color theme="5" tint="-0.2499465926084170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strike val="0"/>
        <color theme="5" tint="-0.2499465926084170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strike val="0"/>
        <color theme="5" tint="-0.2499465926084170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strike val="0"/>
        <color theme="5" tint="-0.24994659260841701"/>
      </font>
    </dxf>
    <dxf>
      <font>
        <b/>
        <i val="0"/>
        <color theme="9" tint="-0.24994659260841701"/>
      </font>
    </dxf>
    <dxf>
      <font>
        <b/>
        <i val="0"/>
        <color theme="5" tint="-0.499984740745262"/>
      </font>
    </dxf>
    <dxf>
      <font>
        <b/>
        <i val="0"/>
        <color rgb="FFFFC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strike val="0"/>
        <color theme="5" tint="-0.2499465926084170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b/>
        <i val="0"/>
        <color theme="9" tint="-0.24994659260841701"/>
      </font>
    </dxf>
    <dxf>
      <font>
        <b/>
        <i val="0"/>
        <color theme="7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theme="5" tint="-0.24994659260841701"/>
      </font>
    </dxf>
    <dxf>
      <font>
        <b/>
        <i val="0"/>
        <color theme="9" tint="-0.2499465926084170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theme="7"/>
      </font>
    </dxf>
    <dxf>
      <font>
        <b/>
        <i val="0"/>
        <color theme="5" tint="-0.24994659260841701"/>
      </font>
    </dxf>
    <dxf>
      <font>
        <b/>
        <i val="0"/>
        <color theme="9" tint="-0.2499465926084170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theme="7"/>
      </font>
    </dxf>
    <dxf>
      <font>
        <b/>
        <i val="0"/>
        <color theme="5" tint="-0.24994659260841701"/>
      </font>
    </dxf>
    <dxf>
      <font>
        <b/>
        <i val="0"/>
        <color theme="9" tint="-0.2499465926084170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strike val="0"/>
        <color theme="5" tint="-0.2499465926084170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b/>
        <i val="0"/>
        <color rgb="FFFFC000"/>
      </font>
    </dxf>
    <dxf>
      <font>
        <b/>
        <i val="0"/>
        <color theme="5" tint="-0.499984740745262"/>
      </font>
    </dxf>
    <dxf>
      <font>
        <b/>
        <i val="0"/>
        <color theme="9" tint="-0.24994659260841701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theme="7"/>
      </font>
    </dxf>
    <dxf>
      <font>
        <b/>
        <i val="0"/>
        <color theme="5" tint="-0.24994659260841701"/>
      </font>
    </dxf>
    <dxf>
      <font>
        <b/>
        <i val="0"/>
        <color theme="9" tint="-0.2499465926084170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/>
      </font>
    </dxf>
    <dxf>
      <font>
        <b/>
        <i val="0"/>
        <color theme="5" tint="-0.24994659260841701"/>
      </font>
    </dxf>
    <dxf>
      <font>
        <b/>
        <i val="0"/>
        <color theme="9" tint="-0.2499465926084170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strike val="0"/>
        <color theme="5" tint="-0.2499465926084170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499984740745262"/>
      </font>
    </dxf>
    <dxf>
      <font>
        <b/>
        <i val="0"/>
        <color rgb="FFFFC000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strike val="0"/>
        <color theme="5" tint="-0.24994659260841701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strike val="0"/>
        <color theme="5" tint="-0.24994659260841701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strike val="0"/>
        <color theme="5" tint="-0.24994659260841701"/>
      </font>
    </dxf>
    <dxf>
      <font>
        <b/>
        <i val="0"/>
        <strike val="0"/>
        <u val="none"/>
        <color theme="7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strike val="0"/>
        <color theme="5" tint="-0.24994659260841701"/>
      </font>
    </dxf>
    <dxf>
      <font>
        <b/>
        <i val="0"/>
        <strike val="0"/>
        <color theme="5" tint="-0.2499465926084170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" formatCode="0"/>
    </dxf>
    <dxf>
      <numFmt numFmtId="1" formatCode="0"/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" formatCode="0"/>
    </dxf>
    <dxf>
      <numFmt numFmtId="1" formatCode="0"/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" formatCode="0"/>
    </dxf>
    <dxf>
      <numFmt numFmtId="1" formatCode="0"/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" formatCode="0"/>
    </dxf>
    <dxf>
      <numFmt numFmtId="1" formatCode="0"/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" formatCode="0"/>
    </dxf>
    <dxf>
      <numFmt numFmtId="1" formatCode="0"/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" formatCode="0"/>
    </dxf>
    <dxf>
      <numFmt numFmtId="1" formatCode="0"/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" formatCode="0"/>
    </dxf>
    <dxf>
      <numFmt numFmtId="1" formatCode="0"/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" formatCode="0"/>
    </dxf>
    <dxf>
      <numFmt numFmtId="1" formatCode="0"/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" formatCode="0"/>
    </dxf>
    <dxf>
      <numFmt numFmtId="1" formatCode="0"/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" formatCode="0"/>
    </dxf>
    <dxf>
      <numFmt numFmtId="1" formatCode="0"/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" formatCode="0"/>
    </dxf>
    <dxf>
      <numFmt numFmtId="1" formatCode="0"/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" formatCode="0"/>
    </dxf>
    <dxf>
      <numFmt numFmtId="1" formatCode="0"/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Janu_Report" pivot="0" count="0" xr9:uid="{D4CDCD58-D90C-4315-8560-71DACFDC7D29}"/>
  </tableStyles>
  <colors>
    <mruColors>
      <color rgb="FFFFFF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June!A1"/><Relationship Id="rId13" Type="http://schemas.openxmlformats.org/officeDocument/2006/relationships/image" Target="../media/image1.png"/><Relationship Id="rId3" Type="http://schemas.openxmlformats.org/officeDocument/2006/relationships/hyperlink" Target="#March!A1"/><Relationship Id="rId7" Type="http://schemas.openxmlformats.org/officeDocument/2006/relationships/hyperlink" Target="#December!A1"/><Relationship Id="rId12" Type="http://schemas.openxmlformats.org/officeDocument/2006/relationships/hyperlink" Target="#October!A1"/><Relationship Id="rId2" Type="http://schemas.openxmlformats.org/officeDocument/2006/relationships/hyperlink" Target="#February!A1"/><Relationship Id="rId1" Type="http://schemas.openxmlformats.org/officeDocument/2006/relationships/hyperlink" Target="#January!A1"/><Relationship Id="rId6" Type="http://schemas.openxmlformats.org/officeDocument/2006/relationships/hyperlink" Target="#November!A1"/><Relationship Id="rId11" Type="http://schemas.openxmlformats.org/officeDocument/2006/relationships/hyperlink" Target="#September!A1"/><Relationship Id="rId5" Type="http://schemas.openxmlformats.org/officeDocument/2006/relationships/hyperlink" Target="#May!A1"/><Relationship Id="rId10" Type="http://schemas.openxmlformats.org/officeDocument/2006/relationships/hyperlink" Target="#August!A1"/><Relationship Id="rId4" Type="http://schemas.openxmlformats.org/officeDocument/2006/relationships/hyperlink" Target="#April!A1"/><Relationship Id="rId9" Type="http://schemas.openxmlformats.org/officeDocument/2006/relationships/hyperlink" Target="#July!A1"/><Relationship Id="rId14" Type="http://schemas.openxmlformats.org/officeDocument/2006/relationships/image" Target="../media/image2.sv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June!A1"/><Relationship Id="rId13" Type="http://schemas.openxmlformats.org/officeDocument/2006/relationships/image" Target="../media/image1.png"/><Relationship Id="rId3" Type="http://schemas.openxmlformats.org/officeDocument/2006/relationships/hyperlink" Target="#March!A1"/><Relationship Id="rId7" Type="http://schemas.openxmlformats.org/officeDocument/2006/relationships/hyperlink" Target="#December!A1"/><Relationship Id="rId12" Type="http://schemas.openxmlformats.org/officeDocument/2006/relationships/hyperlink" Target="#October!A1"/><Relationship Id="rId2" Type="http://schemas.openxmlformats.org/officeDocument/2006/relationships/hyperlink" Target="#February!A1"/><Relationship Id="rId1" Type="http://schemas.openxmlformats.org/officeDocument/2006/relationships/hyperlink" Target="#January!A1"/><Relationship Id="rId6" Type="http://schemas.openxmlformats.org/officeDocument/2006/relationships/hyperlink" Target="#November!A1"/><Relationship Id="rId11" Type="http://schemas.openxmlformats.org/officeDocument/2006/relationships/hyperlink" Target="#September!A1"/><Relationship Id="rId5" Type="http://schemas.openxmlformats.org/officeDocument/2006/relationships/hyperlink" Target="#May!A1"/><Relationship Id="rId10" Type="http://schemas.openxmlformats.org/officeDocument/2006/relationships/hyperlink" Target="#August!A1"/><Relationship Id="rId4" Type="http://schemas.openxmlformats.org/officeDocument/2006/relationships/hyperlink" Target="#April!A1"/><Relationship Id="rId9" Type="http://schemas.openxmlformats.org/officeDocument/2006/relationships/hyperlink" Target="#July!A1"/><Relationship Id="rId14" Type="http://schemas.openxmlformats.org/officeDocument/2006/relationships/image" Target="../media/image2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June!A1"/><Relationship Id="rId13" Type="http://schemas.openxmlformats.org/officeDocument/2006/relationships/image" Target="../media/image1.png"/><Relationship Id="rId3" Type="http://schemas.openxmlformats.org/officeDocument/2006/relationships/hyperlink" Target="#March!A1"/><Relationship Id="rId7" Type="http://schemas.openxmlformats.org/officeDocument/2006/relationships/hyperlink" Target="#December!A1"/><Relationship Id="rId12" Type="http://schemas.openxmlformats.org/officeDocument/2006/relationships/hyperlink" Target="#October!A1"/><Relationship Id="rId2" Type="http://schemas.openxmlformats.org/officeDocument/2006/relationships/hyperlink" Target="#February!A1"/><Relationship Id="rId1" Type="http://schemas.openxmlformats.org/officeDocument/2006/relationships/hyperlink" Target="#January!A1"/><Relationship Id="rId6" Type="http://schemas.openxmlformats.org/officeDocument/2006/relationships/hyperlink" Target="#November!A1"/><Relationship Id="rId11" Type="http://schemas.openxmlformats.org/officeDocument/2006/relationships/hyperlink" Target="#September!A1"/><Relationship Id="rId5" Type="http://schemas.openxmlformats.org/officeDocument/2006/relationships/hyperlink" Target="#May!A1"/><Relationship Id="rId10" Type="http://schemas.openxmlformats.org/officeDocument/2006/relationships/hyperlink" Target="#August!A1"/><Relationship Id="rId4" Type="http://schemas.openxmlformats.org/officeDocument/2006/relationships/hyperlink" Target="#April!A1"/><Relationship Id="rId9" Type="http://schemas.openxmlformats.org/officeDocument/2006/relationships/hyperlink" Target="#July!A1"/><Relationship Id="rId14" Type="http://schemas.openxmlformats.org/officeDocument/2006/relationships/image" Target="../media/image2.sv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June!A1"/><Relationship Id="rId13" Type="http://schemas.openxmlformats.org/officeDocument/2006/relationships/image" Target="../media/image1.png"/><Relationship Id="rId3" Type="http://schemas.openxmlformats.org/officeDocument/2006/relationships/hyperlink" Target="#March!A1"/><Relationship Id="rId7" Type="http://schemas.openxmlformats.org/officeDocument/2006/relationships/hyperlink" Target="#December!A1"/><Relationship Id="rId12" Type="http://schemas.openxmlformats.org/officeDocument/2006/relationships/hyperlink" Target="#October!A1"/><Relationship Id="rId2" Type="http://schemas.openxmlformats.org/officeDocument/2006/relationships/hyperlink" Target="#February!A1"/><Relationship Id="rId1" Type="http://schemas.openxmlformats.org/officeDocument/2006/relationships/hyperlink" Target="#January!A1"/><Relationship Id="rId6" Type="http://schemas.openxmlformats.org/officeDocument/2006/relationships/hyperlink" Target="#November!A1"/><Relationship Id="rId11" Type="http://schemas.openxmlformats.org/officeDocument/2006/relationships/hyperlink" Target="#September!A1"/><Relationship Id="rId5" Type="http://schemas.openxmlformats.org/officeDocument/2006/relationships/hyperlink" Target="#May!A1"/><Relationship Id="rId10" Type="http://schemas.openxmlformats.org/officeDocument/2006/relationships/hyperlink" Target="#August!A1"/><Relationship Id="rId4" Type="http://schemas.openxmlformats.org/officeDocument/2006/relationships/hyperlink" Target="#April!A1"/><Relationship Id="rId9" Type="http://schemas.openxmlformats.org/officeDocument/2006/relationships/hyperlink" Target="#July!A1"/><Relationship Id="rId14" Type="http://schemas.openxmlformats.org/officeDocument/2006/relationships/image" Target="../media/image2.sv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June!A1"/><Relationship Id="rId13" Type="http://schemas.openxmlformats.org/officeDocument/2006/relationships/image" Target="../media/image1.png"/><Relationship Id="rId3" Type="http://schemas.openxmlformats.org/officeDocument/2006/relationships/hyperlink" Target="#March!A1"/><Relationship Id="rId7" Type="http://schemas.openxmlformats.org/officeDocument/2006/relationships/hyperlink" Target="#December!A1"/><Relationship Id="rId12" Type="http://schemas.openxmlformats.org/officeDocument/2006/relationships/hyperlink" Target="#October!A1"/><Relationship Id="rId2" Type="http://schemas.openxmlformats.org/officeDocument/2006/relationships/hyperlink" Target="#February!A1"/><Relationship Id="rId1" Type="http://schemas.openxmlformats.org/officeDocument/2006/relationships/hyperlink" Target="#January!A1"/><Relationship Id="rId6" Type="http://schemas.openxmlformats.org/officeDocument/2006/relationships/hyperlink" Target="#November!A1"/><Relationship Id="rId11" Type="http://schemas.openxmlformats.org/officeDocument/2006/relationships/hyperlink" Target="#September!A1"/><Relationship Id="rId5" Type="http://schemas.openxmlformats.org/officeDocument/2006/relationships/hyperlink" Target="#May!A1"/><Relationship Id="rId10" Type="http://schemas.openxmlformats.org/officeDocument/2006/relationships/hyperlink" Target="#August!A1"/><Relationship Id="rId4" Type="http://schemas.openxmlformats.org/officeDocument/2006/relationships/hyperlink" Target="#April!A1"/><Relationship Id="rId9" Type="http://schemas.openxmlformats.org/officeDocument/2006/relationships/hyperlink" Target="#July!A1"/><Relationship Id="rId14" Type="http://schemas.openxmlformats.org/officeDocument/2006/relationships/image" Target="../media/image2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June!A1"/><Relationship Id="rId13" Type="http://schemas.openxmlformats.org/officeDocument/2006/relationships/image" Target="../media/image1.png"/><Relationship Id="rId3" Type="http://schemas.openxmlformats.org/officeDocument/2006/relationships/hyperlink" Target="#March!A1"/><Relationship Id="rId7" Type="http://schemas.openxmlformats.org/officeDocument/2006/relationships/hyperlink" Target="#December!A1"/><Relationship Id="rId12" Type="http://schemas.openxmlformats.org/officeDocument/2006/relationships/hyperlink" Target="#October!A1"/><Relationship Id="rId2" Type="http://schemas.openxmlformats.org/officeDocument/2006/relationships/hyperlink" Target="#February!A1"/><Relationship Id="rId1" Type="http://schemas.openxmlformats.org/officeDocument/2006/relationships/hyperlink" Target="#January!A1"/><Relationship Id="rId6" Type="http://schemas.openxmlformats.org/officeDocument/2006/relationships/hyperlink" Target="#November!A1"/><Relationship Id="rId11" Type="http://schemas.openxmlformats.org/officeDocument/2006/relationships/hyperlink" Target="#September!A1"/><Relationship Id="rId5" Type="http://schemas.openxmlformats.org/officeDocument/2006/relationships/hyperlink" Target="#May!A1"/><Relationship Id="rId10" Type="http://schemas.openxmlformats.org/officeDocument/2006/relationships/hyperlink" Target="#August!A1"/><Relationship Id="rId4" Type="http://schemas.openxmlformats.org/officeDocument/2006/relationships/hyperlink" Target="#April!A1"/><Relationship Id="rId9" Type="http://schemas.openxmlformats.org/officeDocument/2006/relationships/hyperlink" Target="#July!A1"/><Relationship Id="rId14" Type="http://schemas.openxmlformats.org/officeDocument/2006/relationships/image" Target="../media/image2.sv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June!A1"/><Relationship Id="rId13" Type="http://schemas.openxmlformats.org/officeDocument/2006/relationships/image" Target="../media/image1.png"/><Relationship Id="rId3" Type="http://schemas.openxmlformats.org/officeDocument/2006/relationships/hyperlink" Target="#March!A1"/><Relationship Id="rId7" Type="http://schemas.openxmlformats.org/officeDocument/2006/relationships/hyperlink" Target="#December!A1"/><Relationship Id="rId12" Type="http://schemas.openxmlformats.org/officeDocument/2006/relationships/hyperlink" Target="#October!A1"/><Relationship Id="rId2" Type="http://schemas.openxmlformats.org/officeDocument/2006/relationships/hyperlink" Target="#February!A1"/><Relationship Id="rId1" Type="http://schemas.openxmlformats.org/officeDocument/2006/relationships/hyperlink" Target="#January!A1"/><Relationship Id="rId6" Type="http://schemas.openxmlformats.org/officeDocument/2006/relationships/hyperlink" Target="#November!A1"/><Relationship Id="rId11" Type="http://schemas.openxmlformats.org/officeDocument/2006/relationships/hyperlink" Target="#September!A1"/><Relationship Id="rId5" Type="http://schemas.openxmlformats.org/officeDocument/2006/relationships/hyperlink" Target="#May!A1"/><Relationship Id="rId10" Type="http://schemas.openxmlformats.org/officeDocument/2006/relationships/hyperlink" Target="#August!A1"/><Relationship Id="rId4" Type="http://schemas.openxmlformats.org/officeDocument/2006/relationships/hyperlink" Target="#April!A1"/><Relationship Id="rId9" Type="http://schemas.openxmlformats.org/officeDocument/2006/relationships/hyperlink" Target="#July!A1"/><Relationship Id="rId14" Type="http://schemas.openxmlformats.org/officeDocument/2006/relationships/image" Target="../media/image2.sv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June!A1"/><Relationship Id="rId13" Type="http://schemas.openxmlformats.org/officeDocument/2006/relationships/image" Target="../media/image1.png"/><Relationship Id="rId3" Type="http://schemas.openxmlformats.org/officeDocument/2006/relationships/hyperlink" Target="#March!A1"/><Relationship Id="rId7" Type="http://schemas.openxmlformats.org/officeDocument/2006/relationships/hyperlink" Target="#December!A1"/><Relationship Id="rId12" Type="http://schemas.openxmlformats.org/officeDocument/2006/relationships/hyperlink" Target="#October!A1"/><Relationship Id="rId2" Type="http://schemas.openxmlformats.org/officeDocument/2006/relationships/hyperlink" Target="#February!A1"/><Relationship Id="rId1" Type="http://schemas.openxmlformats.org/officeDocument/2006/relationships/hyperlink" Target="#January!A1"/><Relationship Id="rId6" Type="http://schemas.openxmlformats.org/officeDocument/2006/relationships/hyperlink" Target="#November!A1"/><Relationship Id="rId11" Type="http://schemas.openxmlformats.org/officeDocument/2006/relationships/hyperlink" Target="#September!A1"/><Relationship Id="rId5" Type="http://schemas.openxmlformats.org/officeDocument/2006/relationships/hyperlink" Target="#May!A1"/><Relationship Id="rId10" Type="http://schemas.openxmlformats.org/officeDocument/2006/relationships/hyperlink" Target="#August!A1"/><Relationship Id="rId4" Type="http://schemas.openxmlformats.org/officeDocument/2006/relationships/hyperlink" Target="#April!A1"/><Relationship Id="rId9" Type="http://schemas.openxmlformats.org/officeDocument/2006/relationships/hyperlink" Target="#July!A1"/><Relationship Id="rId14" Type="http://schemas.openxmlformats.org/officeDocument/2006/relationships/image" Target="../media/image2.sv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June!A1"/><Relationship Id="rId13" Type="http://schemas.openxmlformats.org/officeDocument/2006/relationships/image" Target="../media/image1.png"/><Relationship Id="rId3" Type="http://schemas.openxmlformats.org/officeDocument/2006/relationships/hyperlink" Target="#March!A1"/><Relationship Id="rId7" Type="http://schemas.openxmlformats.org/officeDocument/2006/relationships/hyperlink" Target="#December!A1"/><Relationship Id="rId12" Type="http://schemas.openxmlformats.org/officeDocument/2006/relationships/hyperlink" Target="#October!A1"/><Relationship Id="rId2" Type="http://schemas.openxmlformats.org/officeDocument/2006/relationships/hyperlink" Target="#February!A1"/><Relationship Id="rId1" Type="http://schemas.openxmlformats.org/officeDocument/2006/relationships/hyperlink" Target="#January!A1"/><Relationship Id="rId6" Type="http://schemas.openxmlformats.org/officeDocument/2006/relationships/hyperlink" Target="#November!A1"/><Relationship Id="rId11" Type="http://schemas.openxmlformats.org/officeDocument/2006/relationships/hyperlink" Target="#September!A1"/><Relationship Id="rId5" Type="http://schemas.openxmlformats.org/officeDocument/2006/relationships/hyperlink" Target="#May!A1"/><Relationship Id="rId10" Type="http://schemas.openxmlformats.org/officeDocument/2006/relationships/hyperlink" Target="#August!A1"/><Relationship Id="rId4" Type="http://schemas.openxmlformats.org/officeDocument/2006/relationships/hyperlink" Target="#April!A1"/><Relationship Id="rId9" Type="http://schemas.openxmlformats.org/officeDocument/2006/relationships/hyperlink" Target="#July!A1"/><Relationship Id="rId14" Type="http://schemas.openxmlformats.org/officeDocument/2006/relationships/image" Target="../media/image2.sv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hyperlink" Target="#June!A1"/><Relationship Id="rId13" Type="http://schemas.openxmlformats.org/officeDocument/2006/relationships/image" Target="../media/image1.png"/><Relationship Id="rId3" Type="http://schemas.openxmlformats.org/officeDocument/2006/relationships/hyperlink" Target="#March!A1"/><Relationship Id="rId7" Type="http://schemas.openxmlformats.org/officeDocument/2006/relationships/hyperlink" Target="#December!A1"/><Relationship Id="rId12" Type="http://schemas.openxmlformats.org/officeDocument/2006/relationships/hyperlink" Target="#October!A1"/><Relationship Id="rId2" Type="http://schemas.openxmlformats.org/officeDocument/2006/relationships/hyperlink" Target="#February!A1"/><Relationship Id="rId1" Type="http://schemas.openxmlformats.org/officeDocument/2006/relationships/hyperlink" Target="#January!A1"/><Relationship Id="rId6" Type="http://schemas.openxmlformats.org/officeDocument/2006/relationships/hyperlink" Target="#November!A1"/><Relationship Id="rId11" Type="http://schemas.openxmlformats.org/officeDocument/2006/relationships/hyperlink" Target="#September!A1"/><Relationship Id="rId5" Type="http://schemas.openxmlformats.org/officeDocument/2006/relationships/hyperlink" Target="#May!A1"/><Relationship Id="rId10" Type="http://schemas.openxmlformats.org/officeDocument/2006/relationships/hyperlink" Target="#August!A1"/><Relationship Id="rId4" Type="http://schemas.openxmlformats.org/officeDocument/2006/relationships/hyperlink" Target="#April!A1"/><Relationship Id="rId9" Type="http://schemas.openxmlformats.org/officeDocument/2006/relationships/hyperlink" Target="#July!A1"/><Relationship Id="rId14" Type="http://schemas.openxmlformats.org/officeDocument/2006/relationships/image" Target="../media/image2.sv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hyperlink" Target="#June!A1"/><Relationship Id="rId13" Type="http://schemas.openxmlformats.org/officeDocument/2006/relationships/image" Target="../media/image1.png"/><Relationship Id="rId3" Type="http://schemas.openxmlformats.org/officeDocument/2006/relationships/hyperlink" Target="#March!A1"/><Relationship Id="rId7" Type="http://schemas.openxmlformats.org/officeDocument/2006/relationships/hyperlink" Target="#December!A1"/><Relationship Id="rId12" Type="http://schemas.openxmlformats.org/officeDocument/2006/relationships/hyperlink" Target="#October!A1"/><Relationship Id="rId2" Type="http://schemas.openxmlformats.org/officeDocument/2006/relationships/hyperlink" Target="#February!A1"/><Relationship Id="rId1" Type="http://schemas.openxmlformats.org/officeDocument/2006/relationships/hyperlink" Target="#January!A1"/><Relationship Id="rId6" Type="http://schemas.openxmlformats.org/officeDocument/2006/relationships/hyperlink" Target="#November!A1"/><Relationship Id="rId11" Type="http://schemas.openxmlformats.org/officeDocument/2006/relationships/hyperlink" Target="#September!A1"/><Relationship Id="rId5" Type="http://schemas.openxmlformats.org/officeDocument/2006/relationships/hyperlink" Target="#May!A1"/><Relationship Id="rId10" Type="http://schemas.openxmlformats.org/officeDocument/2006/relationships/hyperlink" Target="#August!A1"/><Relationship Id="rId4" Type="http://schemas.openxmlformats.org/officeDocument/2006/relationships/hyperlink" Target="#April!A1"/><Relationship Id="rId9" Type="http://schemas.openxmlformats.org/officeDocument/2006/relationships/hyperlink" Target="#July!A1"/><Relationship Id="rId14" Type="http://schemas.openxmlformats.org/officeDocument/2006/relationships/image" Target="../media/image2.sv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hyperlink" Target="#June!A1"/><Relationship Id="rId13" Type="http://schemas.openxmlformats.org/officeDocument/2006/relationships/image" Target="../media/image1.png"/><Relationship Id="rId3" Type="http://schemas.openxmlformats.org/officeDocument/2006/relationships/hyperlink" Target="#March!A1"/><Relationship Id="rId7" Type="http://schemas.openxmlformats.org/officeDocument/2006/relationships/hyperlink" Target="#December!A1"/><Relationship Id="rId12" Type="http://schemas.openxmlformats.org/officeDocument/2006/relationships/hyperlink" Target="#October!A1"/><Relationship Id="rId2" Type="http://schemas.openxmlformats.org/officeDocument/2006/relationships/hyperlink" Target="#February!A1"/><Relationship Id="rId1" Type="http://schemas.openxmlformats.org/officeDocument/2006/relationships/hyperlink" Target="#January!A1"/><Relationship Id="rId6" Type="http://schemas.openxmlformats.org/officeDocument/2006/relationships/hyperlink" Target="#November!A1"/><Relationship Id="rId11" Type="http://schemas.openxmlformats.org/officeDocument/2006/relationships/hyperlink" Target="#September!A1"/><Relationship Id="rId5" Type="http://schemas.openxmlformats.org/officeDocument/2006/relationships/hyperlink" Target="#May!A1"/><Relationship Id="rId10" Type="http://schemas.openxmlformats.org/officeDocument/2006/relationships/hyperlink" Target="#August!A1"/><Relationship Id="rId4" Type="http://schemas.openxmlformats.org/officeDocument/2006/relationships/hyperlink" Target="#April!A1"/><Relationship Id="rId9" Type="http://schemas.openxmlformats.org/officeDocument/2006/relationships/hyperlink" Target="#July!A1"/><Relationship Id="rId14" Type="http://schemas.openxmlformats.org/officeDocument/2006/relationships/image" Target="../media/image2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0</xdr:rowOff>
    </xdr:from>
    <xdr:to>
      <xdr:col>41</xdr:col>
      <xdr:colOff>45720</xdr:colOff>
      <xdr:row>2</xdr:row>
      <xdr:rowOff>162365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5B0C0A6C-7582-6390-E7FC-39833A38419A}"/>
            </a:ext>
          </a:extLst>
        </xdr:cNvPr>
        <xdr:cNvSpPr/>
      </xdr:nvSpPr>
      <xdr:spPr>
        <a:xfrm>
          <a:off x="1257300" y="0"/>
          <a:ext cx="14569440" cy="52812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45719</xdr:colOff>
      <xdr:row>33</xdr:row>
      <xdr:rowOff>160020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6FC9283-F9E8-BE14-7710-A243B0FC96E1}"/>
            </a:ext>
          </a:extLst>
        </xdr:cNvPr>
        <xdr:cNvSpPr/>
      </xdr:nvSpPr>
      <xdr:spPr>
        <a:xfrm flipH="1" flipV="1">
          <a:off x="0" y="0"/>
          <a:ext cx="1264919" cy="6195060"/>
        </a:xfrm>
        <a:prstGeom prst="rect">
          <a:avLst/>
        </a:prstGeom>
        <a:solidFill>
          <a:schemeClr val="tx1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480060</xdr:colOff>
      <xdr:row>3</xdr:row>
      <xdr:rowOff>121920</xdr:rowOff>
    </xdr:from>
    <xdr:to>
      <xdr:col>3</xdr:col>
      <xdr:colOff>335280</xdr:colOff>
      <xdr:row>5</xdr:row>
      <xdr:rowOff>60960</xdr:rowOff>
    </xdr:to>
    <xdr:sp macro="" textlink="">
      <xdr:nvSpPr>
        <xdr:cNvPr id="3" name="Rectangle: Rounded Corner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B06E54-EDF5-7658-202B-B79DA0F2C4CE}"/>
            </a:ext>
          </a:extLst>
        </xdr:cNvPr>
        <xdr:cNvSpPr/>
      </xdr:nvSpPr>
      <xdr:spPr>
        <a:xfrm>
          <a:off x="480060" y="670560"/>
          <a:ext cx="1684020" cy="3048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tx1"/>
              </a:solidFill>
              <a:latin typeface="+mn-lt"/>
              <a:ea typeface="+mn-ea"/>
              <a:cs typeface="+mn-cs"/>
            </a:rPr>
            <a:t>January</a:t>
          </a:r>
          <a:r>
            <a:rPr lang="en-US" sz="1200"/>
            <a:t> </a:t>
          </a:r>
        </a:p>
      </xdr:txBody>
    </xdr:sp>
    <xdr:clientData/>
  </xdr:twoCellAnchor>
  <xdr:twoCellAnchor>
    <xdr:from>
      <xdr:col>0</xdr:col>
      <xdr:colOff>0</xdr:colOff>
      <xdr:row>5</xdr:row>
      <xdr:rowOff>144780</xdr:rowOff>
    </xdr:from>
    <xdr:to>
      <xdr:col>2</xdr:col>
      <xdr:colOff>464820</xdr:colOff>
      <xdr:row>7</xdr:row>
      <xdr:rowOff>76200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A7ED026-C462-411D-85F1-A0685F63B708}"/>
            </a:ext>
          </a:extLst>
        </xdr:cNvPr>
        <xdr:cNvSpPr/>
      </xdr:nvSpPr>
      <xdr:spPr>
        <a:xfrm>
          <a:off x="0" y="1059180"/>
          <a:ext cx="1684020" cy="31242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February </a:t>
          </a:r>
        </a:p>
      </xdr:txBody>
    </xdr:sp>
    <xdr:clientData/>
  </xdr:twoCellAnchor>
  <xdr:twoCellAnchor>
    <xdr:from>
      <xdr:col>0</xdr:col>
      <xdr:colOff>0</xdr:colOff>
      <xdr:row>7</xdr:row>
      <xdr:rowOff>137160</xdr:rowOff>
    </xdr:from>
    <xdr:to>
      <xdr:col>2</xdr:col>
      <xdr:colOff>464820</xdr:colOff>
      <xdr:row>9</xdr:row>
      <xdr:rowOff>76200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416ADD3-F5B4-4E81-9819-34D9113FCD7D}"/>
            </a:ext>
          </a:extLst>
        </xdr:cNvPr>
        <xdr:cNvSpPr/>
      </xdr:nvSpPr>
      <xdr:spPr>
        <a:xfrm>
          <a:off x="0" y="1432560"/>
          <a:ext cx="1684020" cy="35814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March</a:t>
          </a:r>
        </a:p>
      </xdr:txBody>
    </xdr:sp>
    <xdr:clientData/>
  </xdr:twoCellAnchor>
  <xdr:twoCellAnchor>
    <xdr:from>
      <xdr:col>0</xdr:col>
      <xdr:colOff>0</xdr:colOff>
      <xdr:row>9</xdr:row>
      <xdr:rowOff>121920</xdr:rowOff>
    </xdr:from>
    <xdr:to>
      <xdr:col>2</xdr:col>
      <xdr:colOff>464820</xdr:colOff>
      <xdr:row>11</xdr:row>
      <xdr:rowOff>60960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BF01064-30A5-4026-A4ED-513E01AC8EE1}"/>
            </a:ext>
          </a:extLst>
        </xdr:cNvPr>
        <xdr:cNvSpPr/>
      </xdr:nvSpPr>
      <xdr:spPr>
        <a:xfrm>
          <a:off x="0" y="183642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April </a:t>
          </a:r>
        </a:p>
      </xdr:txBody>
    </xdr:sp>
    <xdr:clientData/>
  </xdr:twoCellAnchor>
  <xdr:twoCellAnchor>
    <xdr:from>
      <xdr:col>0</xdr:col>
      <xdr:colOff>0</xdr:colOff>
      <xdr:row>11</xdr:row>
      <xdr:rowOff>121920</xdr:rowOff>
    </xdr:from>
    <xdr:to>
      <xdr:col>2</xdr:col>
      <xdr:colOff>464820</xdr:colOff>
      <xdr:row>13</xdr:row>
      <xdr:rowOff>60960</xdr:rowOff>
    </xdr:to>
    <xdr:sp macro="" textlink="">
      <xdr:nvSpPr>
        <xdr:cNvPr id="7" name="Rectangle: Rounded Corner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EB5B6C6-76DE-4B08-AB24-6482FF7826C9}"/>
            </a:ext>
          </a:extLst>
        </xdr:cNvPr>
        <xdr:cNvSpPr/>
      </xdr:nvSpPr>
      <xdr:spPr>
        <a:xfrm>
          <a:off x="0" y="220218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May </a:t>
          </a:r>
        </a:p>
      </xdr:txBody>
    </xdr:sp>
    <xdr:clientData/>
  </xdr:twoCellAnchor>
  <xdr:twoCellAnchor>
    <xdr:from>
      <xdr:col>0</xdr:col>
      <xdr:colOff>0</xdr:colOff>
      <xdr:row>23</xdr:row>
      <xdr:rowOff>167640</xdr:rowOff>
    </xdr:from>
    <xdr:to>
      <xdr:col>2</xdr:col>
      <xdr:colOff>464820</xdr:colOff>
      <xdr:row>25</xdr:row>
      <xdr:rowOff>106680</xdr:rowOff>
    </xdr:to>
    <xdr:sp macro="" textlink="">
      <xdr:nvSpPr>
        <xdr:cNvPr id="15" name="Rectangle: Rounded Corners 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1DD1646-7070-40CB-B5C4-9D58D47352A1}"/>
            </a:ext>
          </a:extLst>
        </xdr:cNvPr>
        <xdr:cNvSpPr/>
      </xdr:nvSpPr>
      <xdr:spPr>
        <a:xfrm>
          <a:off x="0" y="444246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November </a:t>
          </a:r>
        </a:p>
      </xdr:txBody>
    </xdr:sp>
    <xdr:clientData/>
  </xdr:twoCellAnchor>
  <xdr:twoCellAnchor>
    <xdr:from>
      <xdr:col>0</xdr:col>
      <xdr:colOff>0</xdr:colOff>
      <xdr:row>25</xdr:row>
      <xdr:rowOff>175260</xdr:rowOff>
    </xdr:from>
    <xdr:to>
      <xdr:col>2</xdr:col>
      <xdr:colOff>464820</xdr:colOff>
      <xdr:row>27</xdr:row>
      <xdr:rowOff>114300</xdr:rowOff>
    </xdr:to>
    <xdr:sp macro="" textlink="">
      <xdr:nvSpPr>
        <xdr:cNvPr id="16" name="Rectangle: Rounded Corners 1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935797A-A8FC-40C9-982E-534C1CE17B9C}"/>
            </a:ext>
          </a:extLst>
        </xdr:cNvPr>
        <xdr:cNvSpPr/>
      </xdr:nvSpPr>
      <xdr:spPr>
        <a:xfrm>
          <a:off x="0" y="481584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December </a:t>
          </a:r>
        </a:p>
      </xdr:txBody>
    </xdr:sp>
    <xdr:clientData/>
  </xdr:twoCellAnchor>
  <xdr:twoCellAnchor>
    <xdr:from>
      <xdr:col>0</xdr:col>
      <xdr:colOff>0</xdr:colOff>
      <xdr:row>13</xdr:row>
      <xdr:rowOff>121920</xdr:rowOff>
    </xdr:from>
    <xdr:to>
      <xdr:col>2</xdr:col>
      <xdr:colOff>464820</xdr:colOff>
      <xdr:row>15</xdr:row>
      <xdr:rowOff>60960</xdr:rowOff>
    </xdr:to>
    <xdr:sp macro="" textlink="">
      <xdr:nvSpPr>
        <xdr:cNvPr id="17" name="Rectangle: Rounded Corners 1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CD32F08-7B2B-4624-8B0E-D80E8A2D7474}"/>
            </a:ext>
          </a:extLst>
        </xdr:cNvPr>
        <xdr:cNvSpPr/>
      </xdr:nvSpPr>
      <xdr:spPr>
        <a:xfrm>
          <a:off x="0" y="256794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bg1"/>
              </a:solidFill>
            </a:rPr>
            <a:t>June</a:t>
          </a:r>
          <a:endParaRPr lang="en-US" sz="1200"/>
        </a:p>
      </xdr:txBody>
    </xdr:sp>
    <xdr:clientData/>
  </xdr:twoCellAnchor>
  <xdr:twoCellAnchor>
    <xdr:from>
      <xdr:col>0</xdr:col>
      <xdr:colOff>0</xdr:colOff>
      <xdr:row>15</xdr:row>
      <xdr:rowOff>129540</xdr:rowOff>
    </xdr:from>
    <xdr:to>
      <xdr:col>2</xdr:col>
      <xdr:colOff>464820</xdr:colOff>
      <xdr:row>17</xdr:row>
      <xdr:rowOff>68580</xdr:rowOff>
    </xdr:to>
    <xdr:sp macro="" textlink="">
      <xdr:nvSpPr>
        <xdr:cNvPr id="18" name="Rectangle: Rounded Corners 1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BF1F1CC-B3C7-497E-8B9A-62FFFA69D739}"/>
            </a:ext>
          </a:extLst>
        </xdr:cNvPr>
        <xdr:cNvSpPr/>
      </xdr:nvSpPr>
      <xdr:spPr>
        <a:xfrm>
          <a:off x="0" y="294132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July</a:t>
          </a:r>
        </a:p>
      </xdr:txBody>
    </xdr:sp>
    <xdr:clientData/>
  </xdr:twoCellAnchor>
  <xdr:twoCellAnchor>
    <xdr:from>
      <xdr:col>0</xdr:col>
      <xdr:colOff>0</xdr:colOff>
      <xdr:row>17</xdr:row>
      <xdr:rowOff>137160</xdr:rowOff>
    </xdr:from>
    <xdr:to>
      <xdr:col>2</xdr:col>
      <xdr:colOff>464820</xdr:colOff>
      <xdr:row>19</xdr:row>
      <xdr:rowOff>76200</xdr:rowOff>
    </xdr:to>
    <xdr:sp macro="" textlink="">
      <xdr:nvSpPr>
        <xdr:cNvPr id="19" name="Rectangle: Rounded Corners 1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D7C02E3-8FE3-4304-9549-583B2A1C711B}"/>
            </a:ext>
          </a:extLst>
        </xdr:cNvPr>
        <xdr:cNvSpPr/>
      </xdr:nvSpPr>
      <xdr:spPr>
        <a:xfrm>
          <a:off x="0" y="331470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August</a:t>
          </a:r>
        </a:p>
      </xdr:txBody>
    </xdr:sp>
    <xdr:clientData/>
  </xdr:twoCellAnchor>
  <xdr:twoCellAnchor>
    <xdr:from>
      <xdr:col>0</xdr:col>
      <xdr:colOff>0</xdr:colOff>
      <xdr:row>19</xdr:row>
      <xdr:rowOff>144780</xdr:rowOff>
    </xdr:from>
    <xdr:to>
      <xdr:col>2</xdr:col>
      <xdr:colOff>464820</xdr:colOff>
      <xdr:row>21</xdr:row>
      <xdr:rowOff>83820</xdr:rowOff>
    </xdr:to>
    <xdr:sp macro="" textlink="">
      <xdr:nvSpPr>
        <xdr:cNvPr id="20" name="Rectangle: Rounded Corners 1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35BF8DF0-2F8B-49E0-A559-9373367A2418}"/>
            </a:ext>
          </a:extLst>
        </xdr:cNvPr>
        <xdr:cNvSpPr/>
      </xdr:nvSpPr>
      <xdr:spPr>
        <a:xfrm>
          <a:off x="0" y="368808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September</a:t>
          </a:r>
        </a:p>
      </xdr:txBody>
    </xdr:sp>
    <xdr:clientData/>
  </xdr:twoCellAnchor>
  <xdr:twoCellAnchor>
    <xdr:from>
      <xdr:col>0</xdr:col>
      <xdr:colOff>0</xdr:colOff>
      <xdr:row>21</xdr:row>
      <xdr:rowOff>152400</xdr:rowOff>
    </xdr:from>
    <xdr:to>
      <xdr:col>2</xdr:col>
      <xdr:colOff>464820</xdr:colOff>
      <xdr:row>23</xdr:row>
      <xdr:rowOff>91440</xdr:rowOff>
    </xdr:to>
    <xdr:sp macro="" textlink="">
      <xdr:nvSpPr>
        <xdr:cNvPr id="21" name="Rectangle: Rounded Corners 20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817A02A3-0DF8-495C-A638-87DA6DB3EA66}"/>
            </a:ext>
          </a:extLst>
        </xdr:cNvPr>
        <xdr:cNvSpPr/>
      </xdr:nvSpPr>
      <xdr:spPr>
        <a:xfrm>
          <a:off x="0" y="406146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October</a:t>
          </a:r>
        </a:p>
      </xdr:txBody>
    </xdr:sp>
    <xdr:clientData/>
  </xdr:twoCellAnchor>
  <xdr:twoCellAnchor>
    <xdr:from>
      <xdr:col>42</xdr:col>
      <xdr:colOff>11723</xdr:colOff>
      <xdr:row>0</xdr:row>
      <xdr:rowOff>0</xdr:rowOff>
    </xdr:from>
    <xdr:to>
      <xdr:col>56</xdr:col>
      <xdr:colOff>730250</xdr:colOff>
      <xdr:row>2</xdr:row>
      <xdr:rowOff>175847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BEA68BE-8AC3-9D00-96E9-6BF4A3D9B823}"/>
            </a:ext>
          </a:extLst>
        </xdr:cNvPr>
        <xdr:cNvSpPr/>
      </xdr:nvSpPr>
      <xdr:spPr>
        <a:xfrm>
          <a:off x="16458223" y="0"/>
          <a:ext cx="10695965" cy="540972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  <a:prstDash val="solid"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3600" b="1">
              <a:solidFill>
                <a:schemeClr val="tx1"/>
              </a:solidFill>
              <a:latin typeface="Aparajita" panose="02020603050405020304" pitchFamily="18" charset="0"/>
              <a:cs typeface="Aparajita" panose="02020603050405020304" pitchFamily="18" charset="0"/>
            </a:rPr>
            <a:t>Monthly  Report</a:t>
          </a:r>
        </a:p>
      </xdr:txBody>
    </xdr:sp>
    <xdr:clientData/>
  </xdr:twoCellAnchor>
  <xdr:twoCellAnchor>
    <xdr:from>
      <xdr:col>6</xdr:col>
      <xdr:colOff>396876</xdr:colOff>
      <xdr:row>0</xdr:row>
      <xdr:rowOff>126999</xdr:rowOff>
    </xdr:from>
    <xdr:to>
      <xdr:col>7</xdr:col>
      <xdr:colOff>474042</xdr:colOff>
      <xdr:row>2</xdr:row>
      <xdr:rowOff>39687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E94A4E1C-5FD3-7FE5-E8DB-86406018A83B}"/>
            </a:ext>
          </a:extLst>
        </xdr:cNvPr>
        <xdr:cNvSpPr/>
      </xdr:nvSpPr>
      <xdr:spPr>
        <a:xfrm>
          <a:off x="3889376" y="126999"/>
          <a:ext cx="1053479" cy="277813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To</a:t>
          </a:r>
        </a:p>
      </xdr:txBody>
    </xdr:sp>
    <xdr:clientData/>
  </xdr:twoCellAnchor>
  <xdr:twoCellAnchor>
    <xdr:from>
      <xdr:col>7</xdr:col>
      <xdr:colOff>461964</xdr:colOff>
      <xdr:row>0</xdr:row>
      <xdr:rowOff>128585</xdr:rowOff>
    </xdr:from>
    <xdr:to>
      <xdr:col>8</xdr:col>
      <xdr:colOff>500064</xdr:colOff>
      <xdr:row>2</xdr:row>
      <xdr:rowOff>39137</xdr:rowOff>
    </xdr:to>
    <xdr:sp macro="" textlink="$J$5">
      <xdr:nvSpPr>
        <xdr:cNvPr id="10" name="Rectangle 9">
          <a:extLst>
            <a:ext uri="{FF2B5EF4-FFF2-40B4-BE49-F238E27FC236}">
              <a16:creationId xmlns:a16="http://schemas.microsoft.com/office/drawing/2014/main" id="{7B08B343-21A0-4EE0-8CB4-F4DEAD22A256}"/>
            </a:ext>
          </a:extLst>
        </xdr:cNvPr>
        <xdr:cNvSpPr/>
      </xdr:nvSpPr>
      <xdr:spPr>
        <a:xfrm>
          <a:off x="4930777" y="128585"/>
          <a:ext cx="1316037" cy="275677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EDA3192-0DC9-41BE-8537-F40AE859E52F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31-Jan-2025</a:t>
          </a:fld>
          <a:endParaRPr lang="en-US" sz="1200" b="1"/>
        </a:p>
      </xdr:txBody>
    </xdr:sp>
    <xdr:clientData/>
  </xdr:twoCellAnchor>
  <xdr:twoCellAnchor>
    <xdr:from>
      <xdr:col>2</xdr:col>
      <xdr:colOff>39688</xdr:colOff>
      <xdr:row>0</xdr:row>
      <xdr:rowOff>142875</xdr:rowOff>
    </xdr:from>
    <xdr:to>
      <xdr:col>3</xdr:col>
      <xdr:colOff>481979</xdr:colOff>
      <xdr:row>2</xdr:row>
      <xdr:rowOff>55563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CABA4F6-0994-5066-59B2-4012255E8299}"/>
            </a:ext>
          </a:extLst>
        </xdr:cNvPr>
        <xdr:cNvSpPr/>
      </xdr:nvSpPr>
      <xdr:spPr>
        <a:xfrm>
          <a:off x="1262063" y="142875"/>
          <a:ext cx="1053479" cy="277813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From</a:t>
          </a:r>
        </a:p>
      </xdr:txBody>
    </xdr:sp>
    <xdr:clientData/>
  </xdr:twoCellAnchor>
  <xdr:twoCellAnchor>
    <xdr:from>
      <xdr:col>3</xdr:col>
      <xdr:colOff>493713</xdr:colOff>
      <xdr:row>0</xdr:row>
      <xdr:rowOff>144461</xdr:rowOff>
    </xdr:from>
    <xdr:to>
      <xdr:col>6</xdr:col>
      <xdr:colOff>150813</xdr:colOff>
      <xdr:row>2</xdr:row>
      <xdr:rowOff>55013</xdr:rowOff>
    </xdr:to>
    <xdr:sp macro="" textlink="$G$5">
      <xdr:nvSpPr>
        <xdr:cNvPr id="12" name="Rectangle 11">
          <a:extLst>
            <a:ext uri="{FF2B5EF4-FFF2-40B4-BE49-F238E27FC236}">
              <a16:creationId xmlns:a16="http://schemas.microsoft.com/office/drawing/2014/main" id="{98324F0C-B1C0-C546-038A-BA9E8DEE8E12}"/>
            </a:ext>
          </a:extLst>
        </xdr:cNvPr>
        <xdr:cNvSpPr/>
      </xdr:nvSpPr>
      <xdr:spPr>
        <a:xfrm>
          <a:off x="2327276" y="144461"/>
          <a:ext cx="1316037" cy="275677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7D7D287-93FA-4632-B81E-C1A385C8653B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01-Jan-2025</a:t>
          </a:fld>
          <a:endParaRPr lang="en-US" sz="1200" b="1"/>
        </a:p>
      </xdr:txBody>
    </xdr:sp>
    <xdr:clientData/>
  </xdr:twoCellAnchor>
  <xdr:twoCellAnchor>
    <xdr:from>
      <xdr:col>10</xdr:col>
      <xdr:colOff>129540</xdr:colOff>
      <xdr:row>0</xdr:row>
      <xdr:rowOff>99060</xdr:rowOff>
    </xdr:from>
    <xdr:to>
      <xdr:col>24</xdr:col>
      <xdr:colOff>53340</xdr:colOff>
      <xdr:row>2</xdr:row>
      <xdr:rowOff>45720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E044A41D-B2C0-F232-B004-8C340FD1FEB6}"/>
            </a:ext>
          </a:extLst>
        </xdr:cNvPr>
        <xdr:cNvSpPr/>
      </xdr:nvSpPr>
      <xdr:spPr>
        <a:xfrm>
          <a:off x="6918960" y="99060"/>
          <a:ext cx="3855720" cy="31242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152400</xdr:colOff>
      <xdr:row>0</xdr:row>
      <xdr:rowOff>91440</xdr:rowOff>
    </xdr:from>
    <xdr:to>
      <xdr:col>22</xdr:col>
      <xdr:colOff>91440</xdr:colOff>
      <xdr:row>2</xdr:row>
      <xdr:rowOff>76200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94D1716-6172-1891-345D-6462A5AFF5A0}"/>
            </a:ext>
          </a:extLst>
        </xdr:cNvPr>
        <xdr:cNvSpPr/>
      </xdr:nvSpPr>
      <xdr:spPr>
        <a:xfrm>
          <a:off x="7216140" y="91440"/>
          <a:ext cx="2994660" cy="3505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chemeClr val="tx1"/>
              </a:solidFill>
            </a:rPr>
            <a:t>Dashboard</a:t>
          </a:r>
          <a:r>
            <a:rPr lang="en-US" sz="1400" b="1" baseline="0">
              <a:solidFill>
                <a:schemeClr val="tx1"/>
              </a:solidFill>
            </a:rPr>
            <a:t> For The Month Of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10</xdr:col>
      <xdr:colOff>121920</xdr:colOff>
      <xdr:row>0</xdr:row>
      <xdr:rowOff>106680</xdr:rowOff>
    </xdr:from>
    <xdr:to>
      <xdr:col>11</xdr:col>
      <xdr:colOff>176231</xdr:colOff>
      <xdr:row>2</xdr:row>
      <xdr:rowOff>36594</xdr:rowOff>
    </xdr:to>
    <xdr:pic>
      <xdr:nvPicPr>
        <xdr:cNvPr id="33" name="Graphic 32" descr="Research with solid fill">
          <a:extLst>
            <a:ext uri="{FF2B5EF4-FFF2-40B4-BE49-F238E27FC236}">
              <a16:creationId xmlns:a16="http://schemas.microsoft.com/office/drawing/2014/main" id="{F6CB0BF2-5224-2061-38E3-164BD2AB9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6911340" y="106680"/>
          <a:ext cx="328631" cy="295674"/>
        </a:xfrm>
        <a:prstGeom prst="rect">
          <a:avLst/>
        </a:prstGeom>
      </xdr:spPr>
    </xdr:pic>
    <xdr:clientData/>
  </xdr:twoCellAnchor>
  <xdr:twoCellAnchor>
    <xdr:from>
      <xdr:col>19</xdr:col>
      <xdr:colOff>167640</xdr:colOff>
      <xdr:row>0</xdr:row>
      <xdr:rowOff>60960</xdr:rowOff>
    </xdr:from>
    <xdr:to>
      <xdr:col>23</xdr:col>
      <xdr:colOff>228600</xdr:colOff>
      <xdr:row>2</xdr:row>
      <xdr:rowOff>45720</xdr:rowOff>
    </xdr:to>
    <xdr:sp macro="" textlink="$E$5">
      <xdr:nvSpPr>
        <xdr:cNvPr id="35" name="Rectangle: Rounded Corners 34">
          <a:extLst>
            <a:ext uri="{FF2B5EF4-FFF2-40B4-BE49-F238E27FC236}">
              <a16:creationId xmlns:a16="http://schemas.microsoft.com/office/drawing/2014/main" id="{8429ADC4-FD4E-AB62-54EB-C6254DE5EDE6}"/>
            </a:ext>
          </a:extLst>
        </xdr:cNvPr>
        <xdr:cNvSpPr/>
      </xdr:nvSpPr>
      <xdr:spPr>
        <a:xfrm>
          <a:off x="9448800" y="60960"/>
          <a:ext cx="1173480" cy="3505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B9C85A59-FB1C-438C-92E4-56515B55565E}" type="TxLink">
            <a:rPr lang="en-US" sz="1600" b="1" i="0" u="none" strike="noStrike">
              <a:solidFill>
                <a:schemeClr val="accent2"/>
              </a:solidFill>
              <a:latin typeface="Calibri"/>
              <a:ea typeface="Calibri"/>
              <a:cs typeface="Calibri"/>
            </a:rPr>
            <a:pPr algn="l"/>
            <a:t>January</a:t>
          </a:fld>
          <a:endParaRPr lang="en-US" sz="1600" b="1">
            <a:solidFill>
              <a:schemeClr val="accent2"/>
            </a:solidFill>
          </a:endParaRPr>
        </a:p>
      </xdr:txBody>
    </xdr:sp>
    <xdr:clientData/>
  </xdr:twoCellAnchor>
  <xdr:twoCellAnchor>
    <xdr:from>
      <xdr:col>27</xdr:col>
      <xdr:colOff>60960</xdr:colOff>
      <xdr:row>0</xdr:row>
      <xdr:rowOff>91440</xdr:rowOff>
    </xdr:from>
    <xdr:to>
      <xdr:col>29</xdr:col>
      <xdr:colOff>53340</xdr:colOff>
      <xdr:row>2</xdr:row>
      <xdr:rowOff>7620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73A11024-7BB2-85BE-BC24-9C74D7A1E724}"/>
            </a:ext>
          </a:extLst>
        </xdr:cNvPr>
        <xdr:cNvSpPr/>
      </xdr:nvSpPr>
      <xdr:spPr>
        <a:xfrm>
          <a:off x="11536680" y="914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🟢</a:t>
          </a:r>
        </a:p>
      </xdr:txBody>
    </xdr:sp>
    <xdr:clientData/>
  </xdr:twoCellAnchor>
  <xdr:twoCellAnchor>
    <xdr:from>
      <xdr:col>27</xdr:col>
      <xdr:colOff>23497</xdr:colOff>
      <xdr:row>0</xdr:row>
      <xdr:rowOff>67625</xdr:rowOff>
    </xdr:from>
    <xdr:to>
      <xdr:col>31</xdr:col>
      <xdr:colOff>145417</xdr:colOff>
      <xdr:row>1</xdr:row>
      <xdr:rowOff>161057</xdr:rowOff>
    </xdr:to>
    <xdr:sp macro="" textlink="$J$5">
      <xdr:nvSpPr>
        <xdr:cNvPr id="40" name="Rectangle 39">
          <a:extLst>
            <a:ext uri="{FF2B5EF4-FFF2-40B4-BE49-F238E27FC236}">
              <a16:creationId xmlns:a16="http://schemas.microsoft.com/office/drawing/2014/main" id="{ACAB6111-1995-4E28-9D87-3D4643AEC5DB}"/>
            </a:ext>
          </a:extLst>
        </xdr:cNvPr>
        <xdr:cNvSpPr/>
      </xdr:nvSpPr>
      <xdr:spPr>
        <a:xfrm>
          <a:off x="11499217" y="6762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Present</a:t>
          </a:r>
        </a:p>
      </xdr:txBody>
    </xdr:sp>
    <xdr:clientData/>
  </xdr:twoCellAnchor>
  <xdr:twoCellAnchor>
    <xdr:from>
      <xdr:col>27</xdr:col>
      <xdr:colOff>213360</xdr:colOff>
      <xdr:row>1</xdr:row>
      <xdr:rowOff>60960</xdr:rowOff>
    </xdr:from>
    <xdr:to>
      <xdr:col>29</xdr:col>
      <xdr:colOff>205740</xdr:colOff>
      <xdr:row>2</xdr:row>
      <xdr:rowOff>160020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C3308C51-1B6E-4F8C-893E-1D3C8B90CF62}"/>
            </a:ext>
          </a:extLst>
        </xdr:cNvPr>
        <xdr:cNvSpPr/>
      </xdr:nvSpPr>
      <xdr:spPr>
        <a:xfrm>
          <a:off x="11689080" y="2438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900"/>
        </a:p>
      </xdr:txBody>
    </xdr:sp>
    <xdr:clientData/>
  </xdr:twoCellAnchor>
  <xdr:twoCellAnchor>
    <xdr:from>
      <xdr:col>34</xdr:col>
      <xdr:colOff>7620</xdr:colOff>
      <xdr:row>0</xdr:row>
      <xdr:rowOff>106680</xdr:rowOff>
    </xdr:from>
    <xdr:to>
      <xdr:col>36</xdr:col>
      <xdr:colOff>0</xdr:colOff>
      <xdr:row>2</xdr:row>
      <xdr:rowOff>22860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33BE2709-CBB3-495D-8EE7-7253244BB1EE}"/>
            </a:ext>
          </a:extLst>
        </xdr:cNvPr>
        <xdr:cNvSpPr/>
      </xdr:nvSpPr>
      <xdr:spPr>
        <a:xfrm>
          <a:off x="13472160" y="10668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>
              <a:solidFill>
                <a:schemeClr val="accent2"/>
              </a:solidFill>
            </a:rPr>
            <a:t>.🟡</a:t>
          </a:r>
        </a:p>
      </xdr:txBody>
    </xdr:sp>
    <xdr:clientData/>
  </xdr:twoCellAnchor>
  <xdr:twoCellAnchor>
    <xdr:from>
      <xdr:col>33</xdr:col>
      <xdr:colOff>213997</xdr:colOff>
      <xdr:row>0</xdr:row>
      <xdr:rowOff>82865</xdr:rowOff>
    </xdr:from>
    <xdr:to>
      <xdr:col>38</xdr:col>
      <xdr:colOff>92077</xdr:colOff>
      <xdr:row>1</xdr:row>
      <xdr:rowOff>176297</xdr:rowOff>
    </xdr:to>
    <xdr:sp macro="" textlink="$J$5">
      <xdr:nvSpPr>
        <xdr:cNvPr id="45" name="Rectangle 44">
          <a:extLst>
            <a:ext uri="{FF2B5EF4-FFF2-40B4-BE49-F238E27FC236}">
              <a16:creationId xmlns:a16="http://schemas.microsoft.com/office/drawing/2014/main" id="{17D396CA-F077-4951-9109-76F2FC3341F9}"/>
            </a:ext>
          </a:extLst>
        </xdr:cNvPr>
        <xdr:cNvSpPr/>
      </xdr:nvSpPr>
      <xdr:spPr>
        <a:xfrm>
          <a:off x="13434697" y="8286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Leave</a:t>
          </a:r>
        </a:p>
      </xdr:txBody>
    </xdr:sp>
    <xdr:clientData/>
  </xdr:twoCellAnchor>
  <xdr:twoCellAnchor>
    <xdr:from>
      <xdr:col>30</xdr:col>
      <xdr:colOff>167640</xdr:colOff>
      <xdr:row>0</xdr:row>
      <xdr:rowOff>91440</xdr:rowOff>
    </xdr:from>
    <xdr:to>
      <xdr:col>32</xdr:col>
      <xdr:colOff>152400</xdr:colOff>
      <xdr:row>2</xdr:row>
      <xdr:rowOff>7620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71B3177F-F0AD-943B-2595-D4D114A5D79D}"/>
            </a:ext>
          </a:extLst>
        </xdr:cNvPr>
        <xdr:cNvSpPr/>
      </xdr:nvSpPr>
      <xdr:spPr>
        <a:xfrm>
          <a:off x="12512040" y="914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🔴</a:t>
          </a:r>
        </a:p>
      </xdr:txBody>
    </xdr:sp>
    <xdr:clientData/>
  </xdr:twoCellAnchor>
  <xdr:twoCellAnchor>
    <xdr:from>
      <xdr:col>30</xdr:col>
      <xdr:colOff>99697</xdr:colOff>
      <xdr:row>0</xdr:row>
      <xdr:rowOff>82865</xdr:rowOff>
    </xdr:from>
    <xdr:to>
      <xdr:col>35</xdr:col>
      <xdr:colOff>31117</xdr:colOff>
      <xdr:row>1</xdr:row>
      <xdr:rowOff>176297</xdr:rowOff>
    </xdr:to>
    <xdr:sp macro="" textlink="$J$5">
      <xdr:nvSpPr>
        <xdr:cNvPr id="47" name="Rectangle 46">
          <a:extLst>
            <a:ext uri="{FF2B5EF4-FFF2-40B4-BE49-F238E27FC236}">
              <a16:creationId xmlns:a16="http://schemas.microsoft.com/office/drawing/2014/main" id="{51B6E361-7607-F7E9-D13F-00D32ADB1BCD}"/>
            </a:ext>
          </a:extLst>
        </xdr:cNvPr>
        <xdr:cNvSpPr/>
      </xdr:nvSpPr>
      <xdr:spPr>
        <a:xfrm>
          <a:off x="12444097" y="8286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Absent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0</xdr:rowOff>
    </xdr:from>
    <xdr:to>
      <xdr:col>41</xdr:col>
      <xdr:colOff>45720</xdr:colOff>
      <xdr:row>2</xdr:row>
      <xdr:rowOff>162365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767F355-A068-4208-AC2D-DE1E78581105}"/>
            </a:ext>
          </a:extLst>
        </xdr:cNvPr>
        <xdr:cNvSpPr/>
      </xdr:nvSpPr>
      <xdr:spPr>
        <a:xfrm>
          <a:off x="1257300" y="0"/>
          <a:ext cx="14638020" cy="52812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45719</xdr:colOff>
      <xdr:row>33</xdr:row>
      <xdr:rowOff>160020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26167D4-8EDF-4809-BC19-7F7ABAB91EA2}"/>
            </a:ext>
          </a:extLst>
        </xdr:cNvPr>
        <xdr:cNvSpPr/>
      </xdr:nvSpPr>
      <xdr:spPr>
        <a:xfrm flipH="1" flipV="1">
          <a:off x="0" y="0"/>
          <a:ext cx="1264919" cy="6271260"/>
        </a:xfrm>
        <a:prstGeom prst="rect">
          <a:avLst/>
        </a:prstGeom>
        <a:solidFill>
          <a:schemeClr val="tx1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7620</xdr:colOff>
      <xdr:row>3</xdr:row>
      <xdr:rowOff>144780</xdr:rowOff>
    </xdr:from>
    <xdr:to>
      <xdr:col>2</xdr:col>
      <xdr:colOff>472440</xdr:colOff>
      <xdr:row>5</xdr:row>
      <xdr:rowOff>83820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48A758-EED8-44E5-990C-41D32A184B06}"/>
            </a:ext>
          </a:extLst>
        </xdr:cNvPr>
        <xdr:cNvSpPr/>
      </xdr:nvSpPr>
      <xdr:spPr>
        <a:xfrm>
          <a:off x="7620" y="69342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January </a:t>
          </a:r>
        </a:p>
      </xdr:txBody>
    </xdr:sp>
    <xdr:clientData/>
  </xdr:twoCellAnchor>
  <xdr:twoCellAnchor>
    <xdr:from>
      <xdr:col>0</xdr:col>
      <xdr:colOff>487680</xdr:colOff>
      <xdr:row>5</xdr:row>
      <xdr:rowOff>144780</xdr:rowOff>
    </xdr:from>
    <xdr:to>
      <xdr:col>3</xdr:col>
      <xdr:colOff>342900</xdr:colOff>
      <xdr:row>7</xdr:row>
      <xdr:rowOff>76200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BE4287D-3ADD-4A16-B643-48EBF2B2E047}"/>
            </a:ext>
          </a:extLst>
        </xdr:cNvPr>
        <xdr:cNvSpPr/>
      </xdr:nvSpPr>
      <xdr:spPr>
        <a:xfrm>
          <a:off x="487680" y="1059180"/>
          <a:ext cx="1684020" cy="31242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tx1"/>
              </a:solidFill>
              <a:latin typeface="+mn-lt"/>
              <a:ea typeface="+mn-ea"/>
              <a:cs typeface="+mn-cs"/>
            </a:rPr>
            <a:t>February </a:t>
          </a:r>
        </a:p>
      </xdr:txBody>
    </xdr:sp>
    <xdr:clientData/>
  </xdr:twoCellAnchor>
  <xdr:twoCellAnchor>
    <xdr:from>
      <xdr:col>0</xdr:col>
      <xdr:colOff>0</xdr:colOff>
      <xdr:row>7</xdr:row>
      <xdr:rowOff>137160</xdr:rowOff>
    </xdr:from>
    <xdr:to>
      <xdr:col>2</xdr:col>
      <xdr:colOff>464820</xdr:colOff>
      <xdr:row>9</xdr:row>
      <xdr:rowOff>76200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190B0DB-C615-4ADB-A22F-BD0EF67E7474}"/>
            </a:ext>
          </a:extLst>
        </xdr:cNvPr>
        <xdr:cNvSpPr/>
      </xdr:nvSpPr>
      <xdr:spPr>
        <a:xfrm>
          <a:off x="0" y="1432560"/>
          <a:ext cx="1684020" cy="35814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March</a:t>
          </a:r>
        </a:p>
      </xdr:txBody>
    </xdr:sp>
    <xdr:clientData/>
  </xdr:twoCellAnchor>
  <xdr:twoCellAnchor>
    <xdr:from>
      <xdr:col>0</xdr:col>
      <xdr:colOff>0</xdr:colOff>
      <xdr:row>9</xdr:row>
      <xdr:rowOff>121920</xdr:rowOff>
    </xdr:from>
    <xdr:to>
      <xdr:col>2</xdr:col>
      <xdr:colOff>464820</xdr:colOff>
      <xdr:row>11</xdr:row>
      <xdr:rowOff>60960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7C12509-571F-4998-8220-4E105078B737}"/>
            </a:ext>
          </a:extLst>
        </xdr:cNvPr>
        <xdr:cNvSpPr/>
      </xdr:nvSpPr>
      <xdr:spPr>
        <a:xfrm>
          <a:off x="0" y="183642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April </a:t>
          </a:r>
        </a:p>
      </xdr:txBody>
    </xdr:sp>
    <xdr:clientData/>
  </xdr:twoCellAnchor>
  <xdr:twoCellAnchor>
    <xdr:from>
      <xdr:col>0</xdr:col>
      <xdr:colOff>0</xdr:colOff>
      <xdr:row>11</xdr:row>
      <xdr:rowOff>121920</xdr:rowOff>
    </xdr:from>
    <xdr:to>
      <xdr:col>2</xdr:col>
      <xdr:colOff>464820</xdr:colOff>
      <xdr:row>13</xdr:row>
      <xdr:rowOff>60960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4D9FE20-A2F7-4624-B8A8-AC7FCE612B64}"/>
            </a:ext>
          </a:extLst>
        </xdr:cNvPr>
        <xdr:cNvSpPr/>
      </xdr:nvSpPr>
      <xdr:spPr>
        <a:xfrm>
          <a:off x="0" y="220218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May </a:t>
          </a:r>
        </a:p>
      </xdr:txBody>
    </xdr:sp>
    <xdr:clientData/>
  </xdr:twoCellAnchor>
  <xdr:twoCellAnchor>
    <xdr:from>
      <xdr:col>0</xdr:col>
      <xdr:colOff>0</xdr:colOff>
      <xdr:row>23</xdr:row>
      <xdr:rowOff>167640</xdr:rowOff>
    </xdr:from>
    <xdr:to>
      <xdr:col>2</xdr:col>
      <xdr:colOff>464820</xdr:colOff>
      <xdr:row>25</xdr:row>
      <xdr:rowOff>106680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232709-C994-47A6-9A96-BEBBBB885454}"/>
            </a:ext>
          </a:extLst>
        </xdr:cNvPr>
        <xdr:cNvSpPr/>
      </xdr:nvSpPr>
      <xdr:spPr>
        <a:xfrm>
          <a:off x="0" y="444246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November </a:t>
          </a:r>
        </a:p>
      </xdr:txBody>
    </xdr:sp>
    <xdr:clientData/>
  </xdr:twoCellAnchor>
  <xdr:twoCellAnchor>
    <xdr:from>
      <xdr:col>0</xdr:col>
      <xdr:colOff>0</xdr:colOff>
      <xdr:row>25</xdr:row>
      <xdr:rowOff>175260</xdr:rowOff>
    </xdr:from>
    <xdr:to>
      <xdr:col>2</xdr:col>
      <xdr:colOff>464820</xdr:colOff>
      <xdr:row>27</xdr:row>
      <xdr:rowOff>114300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4E95F2C-12B6-4CBA-90C7-2EB50D7FC4E7}"/>
            </a:ext>
          </a:extLst>
        </xdr:cNvPr>
        <xdr:cNvSpPr/>
      </xdr:nvSpPr>
      <xdr:spPr>
        <a:xfrm>
          <a:off x="0" y="481584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December </a:t>
          </a:r>
        </a:p>
      </xdr:txBody>
    </xdr:sp>
    <xdr:clientData/>
  </xdr:twoCellAnchor>
  <xdr:twoCellAnchor>
    <xdr:from>
      <xdr:col>0</xdr:col>
      <xdr:colOff>0</xdr:colOff>
      <xdr:row>13</xdr:row>
      <xdr:rowOff>121920</xdr:rowOff>
    </xdr:from>
    <xdr:to>
      <xdr:col>2</xdr:col>
      <xdr:colOff>464820</xdr:colOff>
      <xdr:row>15</xdr:row>
      <xdr:rowOff>60960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BFA0662-B8FE-47C7-92FC-40ACB66C3A2F}"/>
            </a:ext>
          </a:extLst>
        </xdr:cNvPr>
        <xdr:cNvSpPr/>
      </xdr:nvSpPr>
      <xdr:spPr>
        <a:xfrm>
          <a:off x="0" y="256794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bg1"/>
              </a:solidFill>
            </a:rPr>
            <a:t>June</a:t>
          </a:r>
          <a:endParaRPr lang="en-US" sz="1200"/>
        </a:p>
      </xdr:txBody>
    </xdr:sp>
    <xdr:clientData/>
  </xdr:twoCellAnchor>
  <xdr:twoCellAnchor>
    <xdr:from>
      <xdr:col>0</xdr:col>
      <xdr:colOff>0</xdr:colOff>
      <xdr:row>15</xdr:row>
      <xdr:rowOff>129540</xdr:rowOff>
    </xdr:from>
    <xdr:to>
      <xdr:col>2</xdr:col>
      <xdr:colOff>464820</xdr:colOff>
      <xdr:row>17</xdr:row>
      <xdr:rowOff>68580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5CE4A52-A54E-4596-B0B3-2E2E5006625C}"/>
            </a:ext>
          </a:extLst>
        </xdr:cNvPr>
        <xdr:cNvSpPr/>
      </xdr:nvSpPr>
      <xdr:spPr>
        <a:xfrm>
          <a:off x="0" y="294132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July</a:t>
          </a:r>
        </a:p>
      </xdr:txBody>
    </xdr:sp>
    <xdr:clientData/>
  </xdr:twoCellAnchor>
  <xdr:twoCellAnchor>
    <xdr:from>
      <xdr:col>0</xdr:col>
      <xdr:colOff>0</xdr:colOff>
      <xdr:row>17</xdr:row>
      <xdr:rowOff>137160</xdr:rowOff>
    </xdr:from>
    <xdr:to>
      <xdr:col>2</xdr:col>
      <xdr:colOff>464820</xdr:colOff>
      <xdr:row>19</xdr:row>
      <xdr:rowOff>76200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B15EA66-F301-416D-9C3A-CD0AEC8B91D7}"/>
            </a:ext>
          </a:extLst>
        </xdr:cNvPr>
        <xdr:cNvSpPr/>
      </xdr:nvSpPr>
      <xdr:spPr>
        <a:xfrm>
          <a:off x="0" y="331470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August</a:t>
          </a:r>
        </a:p>
      </xdr:txBody>
    </xdr:sp>
    <xdr:clientData/>
  </xdr:twoCellAnchor>
  <xdr:twoCellAnchor>
    <xdr:from>
      <xdr:col>0</xdr:col>
      <xdr:colOff>0</xdr:colOff>
      <xdr:row>19</xdr:row>
      <xdr:rowOff>144780</xdr:rowOff>
    </xdr:from>
    <xdr:to>
      <xdr:col>2</xdr:col>
      <xdr:colOff>464820</xdr:colOff>
      <xdr:row>21</xdr:row>
      <xdr:rowOff>83820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FE26776-AB52-4E78-B45A-BCC84F9F2543}"/>
            </a:ext>
          </a:extLst>
        </xdr:cNvPr>
        <xdr:cNvSpPr/>
      </xdr:nvSpPr>
      <xdr:spPr>
        <a:xfrm>
          <a:off x="0" y="368808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September</a:t>
          </a:r>
        </a:p>
      </xdr:txBody>
    </xdr:sp>
    <xdr:clientData/>
  </xdr:twoCellAnchor>
  <xdr:twoCellAnchor>
    <xdr:from>
      <xdr:col>0</xdr:col>
      <xdr:colOff>0</xdr:colOff>
      <xdr:row>21</xdr:row>
      <xdr:rowOff>152400</xdr:rowOff>
    </xdr:from>
    <xdr:to>
      <xdr:col>2</xdr:col>
      <xdr:colOff>464820</xdr:colOff>
      <xdr:row>23</xdr:row>
      <xdr:rowOff>91440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C6BF0FF-A77B-41C4-84C0-5402BF8E1CAC}"/>
            </a:ext>
          </a:extLst>
        </xdr:cNvPr>
        <xdr:cNvSpPr/>
      </xdr:nvSpPr>
      <xdr:spPr>
        <a:xfrm>
          <a:off x="0" y="406146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October</a:t>
          </a:r>
        </a:p>
      </xdr:txBody>
    </xdr:sp>
    <xdr:clientData/>
  </xdr:twoCellAnchor>
  <xdr:twoCellAnchor>
    <xdr:from>
      <xdr:col>42</xdr:col>
      <xdr:colOff>11723</xdr:colOff>
      <xdr:row>0</xdr:row>
      <xdr:rowOff>0</xdr:rowOff>
    </xdr:from>
    <xdr:to>
      <xdr:col>56</xdr:col>
      <xdr:colOff>730250</xdr:colOff>
      <xdr:row>2</xdr:row>
      <xdr:rowOff>175847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BE2986E4-9C69-43DB-A82B-06B13E730E53}"/>
            </a:ext>
          </a:extLst>
        </xdr:cNvPr>
        <xdr:cNvSpPr/>
      </xdr:nvSpPr>
      <xdr:spPr>
        <a:xfrm>
          <a:off x="16470923" y="0"/>
          <a:ext cx="11630367" cy="541607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  <a:prstDash val="solid"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3600" b="1">
              <a:solidFill>
                <a:schemeClr val="tx1"/>
              </a:solidFill>
              <a:latin typeface="Aparajita" panose="02020603050405020304" pitchFamily="18" charset="0"/>
              <a:cs typeface="Aparajita" panose="02020603050405020304" pitchFamily="18" charset="0"/>
            </a:rPr>
            <a:t>Monthly  Report</a:t>
          </a:r>
        </a:p>
      </xdr:txBody>
    </xdr:sp>
    <xdr:clientData/>
  </xdr:twoCellAnchor>
  <xdr:twoCellAnchor>
    <xdr:from>
      <xdr:col>6</xdr:col>
      <xdr:colOff>396876</xdr:colOff>
      <xdr:row>0</xdr:row>
      <xdr:rowOff>126999</xdr:rowOff>
    </xdr:from>
    <xdr:to>
      <xdr:col>7</xdr:col>
      <xdr:colOff>474042</xdr:colOff>
      <xdr:row>2</xdr:row>
      <xdr:rowOff>39687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9F2B6CD7-C850-4BE0-A573-F9526A1873B5}"/>
            </a:ext>
          </a:extLst>
        </xdr:cNvPr>
        <xdr:cNvSpPr/>
      </xdr:nvSpPr>
      <xdr:spPr>
        <a:xfrm>
          <a:off x="3879216" y="126999"/>
          <a:ext cx="1060146" cy="278448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To</a:t>
          </a:r>
        </a:p>
      </xdr:txBody>
    </xdr:sp>
    <xdr:clientData/>
  </xdr:twoCellAnchor>
  <xdr:twoCellAnchor>
    <xdr:from>
      <xdr:col>7</xdr:col>
      <xdr:colOff>461964</xdr:colOff>
      <xdr:row>0</xdr:row>
      <xdr:rowOff>128585</xdr:rowOff>
    </xdr:from>
    <xdr:to>
      <xdr:col>8</xdr:col>
      <xdr:colOff>500064</xdr:colOff>
      <xdr:row>2</xdr:row>
      <xdr:rowOff>39137</xdr:rowOff>
    </xdr:to>
    <xdr:sp macro="" textlink="$J$5">
      <xdr:nvSpPr>
        <xdr:cNvPr id="18" name="Rectangle 17">
          <a:extLst>
            <a:ext uri="{FF2B5EF4-FFF2-40B4-BE49-F238E27FC236}">
              <a16:creationId xmlns:a16="http://schemas.microsoft.com/office/drawing/2014/main" id="{763455C9-99C6-4181-9D99-9490E588A740}"/>
            </a:ext>
          </a:extLst>
        </xdr:cNvPr>
        <xdr:cNvSpPr/>
      </xdr:nvSpPr>
      <xdr:spPr>
        <a:xfrm>
          <a:off x="4927284" y="128585"/>
          <a:ext cx="1325880" cy="27631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EDA3192-0DC9-41BE-8537-F40AE859E52F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28-Feb-2025</a:t>
          </a:fld>
          <a:endParaRPr lang="en-US" sz="1200" b="1"/>
        </a:p>
      </xdr:txBody>
    </xdr:sp>
    <xdr:clientData/>
  </xdr:twoCellAnchor>
  <xdr:twoCellAnchor>
    <xdr:from>
      <xdr:col>2</xdr:col>
      <xdr:colOff>39688</xdr:colOff>
      <xdr:row>0</xdr:row>
      <xdr:rowOff>142875</xdr:rowOff>
    </xdr:from>
    <xdr:to>
      <xdr:col>3</xdr:col>
      <xdr:colOff>481979</xdr:colOff>
      <xdr:row>2</xdr:row>
      <xdr:rowOff>55563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1D1C4076-C4AB-4D36-AD01-7599BF19CC0C}"/>
            </a:ext>
          </a:extLst>
        </xdr:cNvPr>
        <xdr:cNvSpPr/>
      </xdr:nvSpPr>
      <xdr:spPr>
        <a:xfrm>
          <a:off x="1258888" y="142875"/>
          <a:ext cx="1051891" cy="278448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From</a:t>
          </a:r>
        </a:p>
      </xdr:txBody>
    </xdr:sp>
    <xdr:clientData/>
  </xdr:twoCellAnchor>
  <xdr:twoCellAnchor>
    <xdr:from>
      <xdr:col>3</xdr:col>
      <xdr:colOff>493713</xdr:colOff>
      <xdr:row>0</xdr:row>
      <xdr:rowOff>144461</xdr:rowOff>
    </xdr:from>
    <xdr:to>
      <xdr:col>6</xdr:col>
      <xdr:colOff>150813</xdr:colOff>
      <xdr:row>2</xdr:row>
      <xdr:rowOff>55013</xdr:rowOff>
    </xdr:to>
    <xdr:sp macro="" textlink="$G$5">
      <xdr:nvSpPr>
        <xdr:cNvPr id="20" name="Rectangle 19">
          <a:extLst>
            <a:ext uri="{FF2B5EF4-FFF2-40B4-BE49-F238E27FC236}">
              <a16:creationId xmlns:a16="http://schemas.microsoft.com/office/drawing/2014/main" id="{E0C2F99B-8A06-43DB-AD84-BA8E3E5556B7}"/>
            </a:ext>
          </a:extLst>
        </xdr:cNvPr>
        <xdr:cNvSpPr/>
      </xdr:nvSpPr>
      <xdr:spPr>
        <a:xfrm>
          <a:off x="2322513" y="144461"/>
          <a:ext cx="1310640" cy="27631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7D7D287-93FA-4632-B81E-C1A385C8653B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01-Feb-2025</a:t>
          </a:fld>
          <a:endParaRPr lang="en-US" sz="1200" b="1"/>
        </a:p>
      </xdr:txBody>
    </xdr:sp>
    <xdr:clientData/>
  </xdr:twoCellAnchor>
  <xdr:twoCellAnchor>
    <xdr:from>
      <xdr:col>10</xdr:col>
      <xdr:colOff>129540</xdr:colOff>
      <xdr:row>0</xdr:row>
      <xdr:rowOff>99060</xdr:rowOff>
    </xdr:from>
    <xdr:to>
      <xdr:col>24</xdr:col>
      <xdr:colOff>53340</xdr:colOff>
      <xdr:row>2</xdr:row>
      <xdr:rowOff>45720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3E44B8C0-A3BD-4450-815E-AE58C387AD17}"/>
            </a:ext>
          </a:extLst>
        </xdr:cNvPr>
        <xdr:cNvSpPr/>
      </xdr:nvSpPr>
      <xdr:spPr>
        <a:xfrm>
          <a:off x="6987540" y="99060"/>
          <a:ext cx="3855720" cy="31242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152400</xdr:colOff>
      <xdr:row>0</xdr:row>
      <xdr:rowOff>91440</xdr:rowOff>
    </xdr:from>
    <xdr:to>
      <xdr:col>22</xdr:col>
      <xdr:colOff>91440</xdr:colOff>
      <xdr:row>2</xdr:row>
      <xdr:rowOff>76200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E64612B-5C20-4C86-910E-BE0A50B400C7}"/>
            </a:ext>
          </a:extLst>
        </xdr:cNvPr>
        <xdr:cNvSpPr/>
      </xdr:nvSpPr>
      <xdr:spPr>
        <a:xfrm>
          <a:off x="7284720" y="91440"/>
          <a:ext cx="2994660" cy="3505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chemeClr val="tx1"/>
              </a:solidFill>
            </a:rPr>
            <a:t>Dashboard</a:t>
          </a:r>
          <a:r>
            <a:rPr lang="en-US" sz="1400" b="1" baseline="0">
              <a:solidFill>
                <a:schemeClr val="tx1"/>
              </a:solidFill>
            </a:rPr>
            <a:t> For The Month Of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10</xdr:col>
      <xdr:colOff>121920</xdr:colOff>
      <xdr:row>0</xdr:row>
      <xdr:rowOff>106680</xdr:rowOff>
    </xdr:from>
    <xdr:to>
      <xdr:col>11</xdr:col>
      <xdr:colOff>176231</xdr:colOff>
      <xdr:row>2</xdr:row>
      <xdr:rowOff>36594</xdr:rowOff>
    </xdr:to>
    <xdr:pic>
      <xdr:nvPicPr>
        <xdr:cNvPr id="23" name="Graphic 22" descr="Research with solid fill">
          <a:extLst>
            <a:ext uri="{FF2B5EF4-FFF2-40B4-BE49-F238E27FC236}">
              <a16:creationId xmlns:a16="http://schemas.microsoft.com/office/drawing/2014/main" id="{B8B9444B-5852-4F17-9103-04DA8B1F8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6979920" y="106680"/>
          <a:ext cx="328631" cy="295674"/>
        </a:xfrm>
        <a:prstGeom prst="rect">
          <a:avLst/>
        </a:prstGeom>
      </xdr:spPr>
    </xdr:pic>
    <xdr:clientData/>
  </xdr:twoCellAnchor>
  <xdr:twoCellAnchor>
    <xdr:from>
      <xdr:col>19</xdr:col>
      <xdr:colOff>167640</xdr:colOff>
      <xdr:row>0</xdr:row>
      <xdr:rowOff>60960</xdr:rowOff>
    </xdr:from>
    <xdr:to>
      <xdr:col>23</xdr:col>
      <xdr:colOff>228600</xdr:colOff>
      <xdr:row>2</xdr:row>
      <xdr:rowOff>45720</xdr:rowOff>
    </xdr:to>
    <xdr:sp macro="" textlink="$E$5">
      <xdr:nvSpPr>
        <xdr:cNvPr id="24" name="Rectangle: Rounded Corners 23">
          <a:extLst>
            <a:ext uri="{FF2B5EF4-FFF2-40B4-BE49-F238E27FC236}">
              <a16:creationId xmlns:a16="http://schemas.microsoft.com/office/drawing/2014/main" id="{2BF69F00-8914-4504-9AE1-15C314044498}"/>
            </a:ext>
          </a:extLst>
        </xdr:cNvPr>
        <xdr:cNvSpPr/>
      </xdr:nvSpPr>
      <xdr:spPr>
        <a:xfrm>
          <a:off x="9517380" y="60960"/>
          <a:ext cx="1173480" cy="3505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B9C85A59-FB1C-438C-92E4-56515B55565E}" type="TxLink">
            <a:rPr lang="en-US" sz="1600" b="1" i="0" u="none" strike="noStrike">
              <a:solidFill>
                <a:schemeClr val="accent2"/>
              </a:solidFill>
              <a:latin typeface="Calibri"/>
              <a:ea typeface="Calibri"/>
              <a:cs typeface="Calibri"/>
            </a:rPr>
            <a:pPr algn="l"/>
            <a:t>February</a:t>
          </a:fld>
          <a:endParaRPr lang="en-US" sz="1600" b="1">
            <a:solidFill>
              <a:schemeClr val="accent2"/>
            </a:solidFill>
          </a:endParaRPr>
        </a:p>
      </xdr:txBody>
    </xdr:sp>
    <xdr:clientData/>
  </xdr:twoCellAnchor>
  <xdr:twoCellAnchor>
    <xdr:from>
      <xdr:col>27</xdr:col>
      <xdr:colOff>60960</xdr:colOff>
      <xdr:row>0</xdr:row>
      <xdr:rowOff>91440</xdr:rowOff>
    </xdr:from>
    <xdr:to>
      <xdr:col>29</xdr:col>
      <xdr:colOff>53340</xdr:colOff>
      <xdr:row>2</xdr:row>
      <xdr:rowOff>7620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8874ABA4-2A72-48CC-85EA-4CDF572B6F42}"/>
            </a:ext>
          </a:extLst>
        </xdr:cNvPr>
        <xdr:cNvSpPr/>
      </xdr:nvSpPr>
      <xdr:spPr>
        <a:xfrm>
          <a:off x="11605260" y="914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🟢</a:t>
          </a:r>
        </a:p>
      </xdr:txBody>
    </xdr:sp>
    <xdr:clientData/>
  </xdr:twoCellAnchor>
  <xdr:twoCellAnchor>
    <xdr:from>
      <xdr:col>27</xdr:col>
      <xdr:colOff>23497</xdr:colOff>
      <xdr:row>0</xdr:row>
      <xdr:rowOff>67625</xdr:rowOff>
    </xdr:from>
    <xdr:to>
      <xdr:col>31</xdr:col>
      <xdr:colOff>145417</xdr:colOff>
      <xdr:row>1</xdr:row>
      <xdr:rowOff>161057</xdr:rowOff>
    </xdr:to>
    <xdr:sp macro="" textlink="$J$5">
      <xdr:nvSpPr>
        <xdr:cNvPr id="26" name="Rectangle 25">
          <a:extLst>
            <a:ext uri="{FF2B5EF4-FFF2-40B4-BE49-F238E27FC236}">
              <a16:creationId xmlns:a16="http://schemas.microsoft.com/office/drawing/2014/main" id="{FFF35919-C851-42FD-B34E-CDF7DF629C4C}"/>
            </a:ext>
          </a:extLst>
        </xdr:cNvPr>
        <xdr:cNvSpPr/>
      </xdr:nvSpPr>
      <xdr:spPr>
        <a:xfrm>
          <a:off x="11567797" y="6762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Present</a:t>
          </a:r>
        </a:p>
      </xdr:txBody>
    </xdr:sp>
    <xdr:clientData/>
  </xdr:twoCellAnchor>
  <xdr:twoCellAnchor>
    <xdr:from>
      <xdr:col>27</xdr:col>
      <xdr:colOff>213360</xdr:colOff>
      <xdr:row>1</xdr:row>
      <xdr:rowOff>60960</xdr:rowOff>
    </xdr:from>
    <xdr:to>
      <xdr:col>29</xdr:col>
      <xdr:colOff>205740</xdr:colOff>
      <xdr:row>2</xdr:row>
      <xdr:rowOff>160020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8643E13E-3B92-4C28-9FC5-21CBD7432502}"/>
            </a:ext>
          </a:extLst>
        </xdr:cNvPr>
        <xdr:cNvSpPr/>
      </xdr:nvSpPr>
      <xdr:spPr>
        <a:xfrm>
          <a:off x="11757660" y="2438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900"/>
        </a:p>
      </xdr:txBody>
    </xdr:sp>
    <xdr:clientData/>
  </xdr:twoCellAnchor>
  <xdr:twoCellAnchor>
    <xdr:from>
      <xdr:col>34</xdr:col>
      <xdr:colOff>7620</xdr:colOff>
      <xdr:row>0</xdr:row>
      <xdr:rowOff>106680</xdr:rowOff>
    </xdr:from>
    <xdr:to>
      <xdr:col>36</xdr:col>
      <xdr:colOff>0</xdr:colOff>
      <xdr:row>2</xdr:row>
      <xdr:rowOff>22860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31731F56-460E-4507-9319-EAB12AF056DB}"/>
            </a:ext>
          </a:extLst>
        </xdr:cNvPr>
        <xdr:cNvSpPr/>
      </xdr:nvSpPr>
      <xdr:spPr>
        <a:xfrm>
          <a:off x="13540740" y="10668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>
              <a:solidFill>
                <a:schemeClr val="accent2"/>
              </a:solidFill>
            </a:rPr>
            <a:t>.🟡</a:t>
          </a:r>
        </a:p>
      </xdr:txBody>
    </xdr:sp>
    <xdr:clientData/>
  </xdr:twoCellAnchor>
  <xdr:twoCellAnchor>
    <xdr:from>
      <xdr:col>33</xdr:col>
      <xdr:colOff>213997</xdr:colOff>
      <xdr:row>0</xdr:row>
      <xdr:rowOff>82865</xdr:rowOff>
    </xdr:from>
    <xdr:to>
      <xdr:col>38</xdr:col>
      <xdr:colOff>92077</xdr:colOff>
      <xdr:row>1</xdr:row>
      <xdr:rowOff>176297</xdr:rowOff>
    </xdr:to>
    <xdr:sp macro="" textlink="$J$5">
      <xdr:nvSpPr>
        <xdr:cNvPr id="29" name="Rectangle 28">
          <a:extLst>
            <a:ext uri="{FF2B5EF4-FFF2-40B4-BE49-F238E27FC236}">
              <a16:creationId xmlns:a16="http://schemas.microsoft.com/office/drawing/2014/main" id="{5877E4C0-7BCF-448A-BF0C-231BF0C524AE}"/>
            </a:ext>
          </a:extLst>
        </xdr:cNvPr>
        <xdr:cNvSpPr/>
      </xdr:nvSpPr>
      <xdr:spPr>
        <a:xfrm>
          <a:off x="13503277" y="8286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Leave</a:t>
          </a:r>
        </a:p>
      </xdr:txBody>
    </xdr:sp>
    <xdr:clientData/>
  </xdr:twoCellAnchor>
  <xdr:twoCellAnchor>
    <xdr:from>
      <xdr:col>30</xdr:col>
      <xdr:colOff>167640</xdr:colOff>
      <xdr:row>0</xdr:row>
      <xdr:rowOff>91440</xdr:rowOff>
    </xdr:from>
    <xdr:to>
      <xdr:col>32</xdr:col>
      <xdr:colOff>152400</xdr:colOff>
      <xdr:row>2</xdr:row>
      <xdr:rowOff>7620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D079D31F-0831-456F-B521-87C47F750295}"/>
            </a:ext>
          </a:extLst>
        </xdr:cNvPr>
        <xdr:cNvSpPr/>
      </xdr:nvSpPr>
      <xdr:spPr>
        <a:xfrm>
          <a:off x="12580620" y="914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🔴</a:t>
          </a:r>
        </a:p>
      </xdr:txBody>
    </xdr:sp>
    <xdr:clientData/>
  </xdr:twoCellAnchor>
  <xdr:twoCellAnchor>
    <xdr:from>
      <xdr:col>30</xdr:col>
      <xdr:colOff>99697</xdr:colOff>
      <xdr:row>0</xdr:row>
      <xdr:rowOff>82865</xdr:rowOff>
    </xdr:from>
    <xdr:to>
      <xdr:col>35</xdr:col>
      <xdr:colOff>31117</xdr:colOff>
      <xdr:row>1</xdr:row>
      <xdr:rowOff>176297</xdr:rowOff>
    </xdr:to>
    <xdr:sp macro="" textlink="$J$5">
      <xdr:nvSpPr>
        <xdr:cNvPr id="31" name="Rectangle 30">
          <a:extLst>
            <a:ext uri="{FF2B5EF4-FFF2-40B4-BE49-F238E27FC236}">
              <a16:creationId xmlns:a16="http://schemas.microsoft.com/office/drawing/2014/main" id="{E2B9D10C-67FE-48A5-9D4D-6A8897FD95ED}"/>
            </a:ext>
          </a:extLst>
        </xdr:cNvPr>
        <xdr:cNvSpPr/>
      </xdr:nvSpPr>
      <xdr:spPr>
        <a:xfrm>
          <a:off x="12512677" y="8286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Absent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0</xdr:rowOff>
    </xdr:from>
    <xdr:to>
      <xdr:col>41</xdr:col>
      <xdr:colOff>45720</xdr:colOff>
      <xdr:row>2</xdr:row>
      <xdr:rowOff>162365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1957267-0DED-40E5-A2C5-B116181D2A5A}"/>
            </a:ext>
          </a:extLst>
        </xdr:cNvPr>
        <xdr:cNvSpPr/>
      </xdr:nvSpPr>
      <xdr:spPr>
        <a:xfrm>
          <a:off x="1257300" y="0"/>
          <a:ext cx="14638020" cy="52812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45719</xdr:colOff>
      <xdr:row>33</xdr:row>
      <xdr:rowOff>160020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E79E66B-B81B-4F86-BC81-574B2BD9E68F}"/>
            </a:ext>
          </a:extLst>
        </xdr:cNvPr>
        <xdr:cNvSpPr/>
      </xdr:nvSpPr>
      <xdr:spPr>
        <a:xfrm flipH="1" flipV="1">
          <a:off x="0" y="0"/>
          <a:ext cx="1264919" cy="6271260"/>
        </a:xfrm>
        <a:prstGeom prst="rect">
          <a:avLst/>
        </a:prstGeom>
        <a:solidFill>
          <a:schemeClr val="tx1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3</xdr:row>
      <xdr:rowOff>160020</xdr:rowOff>
    </xdr:from>
    <xdr:to>
      <xdr:col>2</xdr:col>
      <xdr:colOff>464820</xdr:colOff>
      <xdr:row>5</xdr:row>
      <xdr:rowOff>99060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BA2B18-FCCC-408B-9483-DD8F8905D952}"/>
            </a:ext>
          </a:extLst>
        </xdr:cNvPr>
        <xdr:cNvSpPr/>
      </xdr:nvSpPr>
      <xdr:spPr>
        <a:xfrm>
          <a:off x="0" y="70866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January </a:t>
          </a:r>
        </a:p>
      </xdr:txBody>
    </xdr:sp>
    <xdr:clientData/>
  </xdr:twoCellAnchor>
  <xdr:twoCellAnchor>
    <xdr:from>
      <xdr:col>0</xdr:col>
      <xdr:colOff>0</xdr:colOff>
      <xdr:row>5</xdr:row>
      <xdr:rowOff>144780</xdr:rowOff>
    </xdr:from>
    <xdr:to>
      <xdr:col>2</xdr:col>
      <xdr:colOff>464820</xdr:colOff>
      <xdr:row>7</xdr:row>
      <xdr:rowOff>76200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048C498-F9B6-4629-8CB5-44BC74AEF33F}"/>
            </a:ext>
          </a:extLst>
        </xdr:cNvPr>
        <xdr:cNvSpPr/>
      </xdr:nvSpPr>
      <xdr:spPr>
        <a:xfrm>
          <a:off x="0" y="1059180"/>
          <a:ext cx="1684020" cy="31242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bg1"/>
              </a:solidFill>
            </a:rPr>
            <a:t>February</a:t>
          </a:r>
          <a:r>
            <a:rPr lang="en-US" sz="1200"/>
            <a:t> </a:t>
          </a:r>
        </a:p>
      </xdr:txBody>
    </xdr:sp>
    <xdr:clientData/>
  </xdr:twoCellAnchor>
  <xdr:twoCellAnchor>
    <xdr:from>
      <xdr:col>0</xdr:col>
      <xdr:colOff>579120</xdr:colOff>
      <xdr:row>7</xdr:row>
      <xdr:rowOff>121920</xdr:rowOff>
    </xdr:from>
    <xdr:to>
      <xdr:col>3</xdr:col>
      <xdr:colOff>434340</xdr:colOff>
      <xdr:row>9</xdr:row>
      <xdr:rowOff>60960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EDE9E26-1C1F-4D01-9401-CE13E4A72FA7}"/>
            </a:ext>
          </a:extLst>
        </xdr:cNvPr>
        <xdr:cNvSpPr/>
      </xdr:nvSpPr>
      <xdr:spPr>
        <a:xfrm>
          <a:off x="579120" y="1417320"/>
          <a:ext cx="1684020" cy="35814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tx1"/>
              </a:solidFill>
              <a:latin typeface="+mn-lt"/>
              <a:ea typeface="+mn-ea"/>
              <a:cs typeface="+mn-cs"/>
            </a:rPr>
            <a:t>March</a:t>
          </a:r>
        </a:p>
      </xdr:txBody>
    </xdr:sp>
    <xdr:clientData/>
  </xdr:twoCellAnchor>
  <xdr:twoCellAnchor>
    <xdr:from>
      <xdr:col>0</xdr:col>
      <xdr:colOff>0</xdr:colOff>
      <xdr:row>9</xdr:row>
      <xdr:rowOff>121920</xdr:rowOff>
    </xdr:from>
    <xdr:to>
      <xdr:col>2</xdr:col>
      <xdr:colOff>464820</xdr:colOff>
      <xdr:row>11</xdr:row>
      <xdr:rowOff>60960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59C9011-3109-49A1-B540-5C3776A20D12}"/>
            </a:ext>
          </a:extLst>
        </xdr:cNvPr>
        <xdr:cNvSpPr/>
      </xdr:nvSpPr>
      <xdr:spPr>
        <a:xfrm>
          <a:off x="0" y="183642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April </a:t>
          </a:r>
        </a:p>
      </xdr:txBody>
    </xdr:sp>
    <xdr:clientData/>
  </xdr:twoCellAnchor>
  <xdr:twoCellAnchor>
    <xdr:from>
      <xdr:col>0</xdr:col>
      <xdr:colOff>0</xdr:colOff>
      <xdr:row>11</xdr:row>
      <xdr:rowOff>121920</xdr:rowOff>
    </xdr:from>
    <xdr:to>
      <xdr:col>2</xdr:col>
      <xdr:colOff>464820</xdr:colOff>
      <xdr:row>13</xdr:row>
      <xdr:rowOff>60960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56FB580-4265-4733-964C-CF028917D6EA}"/>
            </a:ext>
          </a:extLst>
        </xdr:cNvPr>
        <xdr:cNvSpPr/>
      </xdr:nvSpPr>
      <xdr:spPr>
        <a:xfrm>
          <a:off x="0" y="220218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May </a:t>
          </a:r>
        </a:p>
      </xdr:txBody>
    </xdr:sp>
    <xdr:clientData/>
  </xdr:twoCellAnchor>
  <xdr:twoCellAnchor>
    <xdr:from>
      <xdr:col>0</xdr:col>
      <xdr:colOff>0</xdr:colOff>
      <xdr:row>23</xdr:row>
      <xdr:rowOff>167640</xdr:rowOff>
    </xdr:from>
    <xdr:to>
      <xdr:col>2</xdr:col>
      <xdr:colOff>464820</xdr:colOff>
      <xdr:row>25</xdr:row>
      <xdr:rowOff>106680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D84C344-DB80-49FC-8478-B08FCFCD986C}"/>
            </a:ext>
          </a:extLst>
        </xdr:cNvPr>
        <xdr:cNvSpPr/>
      </xdr:nvSpPr>
      <xdr:spPr>
        <a:xfrm>
          <a:off x="0" y="444246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November </a:t>
          </a:r>
        </a:p>
      </xdr:txBody>
    </xdr:sp>
    <xdr:clientData/>
  </xdr:twoCellAnchor>
  <xdr:twoCellAnchor>
    <xdr:from>
      <xdr:col>0</xdr:col>
      <xdr:colOff>0</xdr:colOff>
      <xdr:row>25</xdr:row>
      <xdr:rowOff>175260</xdr:rowOff>
    </xdr:from>
    <xdr:to>
      <xdr:col>2</xdr:col>
      <xdr:colOff>464820</xdr:colOff>
      <xdr:row>27</xdr:row>
      <xdr:rowOff>114300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5E810DC-517F-457A-9A00-4AF954194410}"/>
            </a:ext>
          </a:extLst>
        </xdr:cNvPr>
        <xdr:cNvSpPr/>
      </xdr:nvSpPr>
      <xdr:spPr>
        <a:xfrm>
          <a:off x="0" y="481584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December </a:t>
          </a:r>
        </a:p>
      </xdr:txBody>
    </xdr:sp>
    <xdr:clientData/>
  </xdr:twoCellAnchor>
  <xdr:twoCellAnchor>
    <xdr:from>
      <xdr:col>0</xdr:col>
      <xdr:colOff>0</xdr:colOff>
      <xdr:row>13</xdr:row>
      <xdr:rowOff>121920</xdr:rowOff>
    </xdr:from>
    <xdr:to>
      <xdr:col>2</xdr:col>
      <xdr:colOff>464820</xdr:colOff>
      <xdr:row>15</xdr:row>
      <xdr:rowOff>60960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1F51D86-6BB1-4D3F-9EEB-09CE5ECEBE8A}"/>
            </a:ext>
          </a:extLst>
        </xdr:cNvPr>
        <xdr:cNvSpPr/>
      </xdr:nvSpPr>
      <xdr:spPr>
        <a:xfrm>
          <a:off x="0" y="256794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bg1"/>
              </a:solidFill>
            </a:rPr>
            <a:t>June</a:t>
          </a:r>
          <a:endParaRPr lang="en-US" sz="1200"/>
        </a:p>
      </xdr:txBody>
    </xdr:sp>
    <xdr:clientData/>
  </xdr:twoCellAnchor>
  <xdr:twoCellAnchor>
    <xdr:from>
      <xdr:col>0</xdr:col>
      <xdr:colOff>0</xdr:colOff>
      <xdr:row>15</xdr:row>
      <xdr:rowOff>129540</xdr:rowOff>
    </xdr:from>
    <xdr:to>
      <xdr:col>2</xdr:col>
      <xdr:colOff>464820</xdr:colOff>
      <xdr:row>17</xdr:row>
      <xdr:rowOff>68580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AC58A4E-3F50-4250-8CDF-A1673FD316F9}"/>
            </a:ext>
          </a:extLst>
        </xdr:cNvPr>
        <xdr:cNvSpPr/>
      </xdr:nvSpPr>
      <xdr:spPr>
        <a:xfrm>
          <a:off x="0" y="294132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July</a:t>
          </a:r>
        </a:p>
      </xdr:txBody>
    </xdr:sp>
    <xdr:clientData/>
  </xdr:twoCellAnchor>
  <xdr:twoCellAnchor>
    <xdr:from>
      <xdr:col>0</xdr:col>
      <xdr:colOff>0</xdr:colOff>
      <xdr:row>17</xdr:row>
      <xdr:rowOff>137160</xdr:rowOff>
    </xdr:from>
    <xdr:to>
      <xdr:col>2</xdr:col>
      <xdr:colOff>464820</xdr:colOff>
      <xdr:row>19</xdr:row>
      <xdr:rowOff>76200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9F544A0-963E-47EB-85F2-CF05695FBD84}"/>
            </a:ext>
          </a:extLst>
        </xdr:cNvPr>
        <xdr:cNvSpPr/>
      </xdr:nvSpPr>
      <xdr:spPr>
        <a:xfrm>
          <a:off x="0" y="331470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August</a:t>
          </a:r>
        </a:p>
      </xdr:txBody>
    </xdr:sp>
    <xdr:clientData/>
  </xdr:twoCellAnchor>
  <xdr:twoCellAnchor>
    <xdr:from>
      <xdr:col>0</xdr:col>
      <xdr:colOff>0</xdr:colOff>
      <xdr:row>19</xdr:row>
      <xdr:rowOff>144780</xdr:rowOff>
    </xdr:from>
    <xdr:to>
      <xdr:col>2</xdr:col>
      <xdr:colOff>464820</xdr:colOff>
      <xdr:row>21</xdr:row>
      <xdr:rowOff>83820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D6604395-E94E-4D70-ADAD-EB4A15DA861F}"/>
            </a:ext>
          </a:extLst>
        </xdr:cNvPr>
        <xdr:cNvSpPr/>
      </xdr:nvSpPr>
      <xdr:spPr>
        <a:xfrm>
          <a:off x="0" y="368808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September</a:t>
          </a:r>
        </a:p>
      </xdr:txBody>
    </xdr:sp>
    <xdr:clientData/>
  </xdr:twoCellAnchor>
  <xdr:twoCellAnchor>
    <xdr:from>
      <xdr:col>0</xdr:col>
      <xdr:colOff>0</xdr:colOff>
      <xdr:row>21</xdr:row>
      <xdr:rowOff>152400</xdr:rowOff>
    </xdr:from>
    <xdr:to>
      <xdr:col>2</xdr:col>
      <xdr:colOff>464820</xdr:colOff>
      <xdr:row>23</xdr:row>
      <xdr:rowOff>91440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6A6FDC1-0246-4623-8C37-E9B39AB8CA51}"/>
            </a:ext>
          </a:extLst>
        </xdr:cNvPr>
        <xdr:cNvSpPr/>
      </xdr:nvSpPr>
      <xdr:spPr>
        <a:xfrm>
          <a:off x="0" y="406146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October</a:t>
          </a:r>
        </a:p>
      </xdr:txBody>
    </xdr:sp>
    <xdr:clientData/>
  </xdr:twoCellAnchor>
  <xdr:twoCellAnchor>
    <xdr:from>
      <xdr:col>42</xdr:col>
      <xdr:colOff>11723</xdr:colOff>
      <xdr:row>0</xdr:row>
      <xdr:rowOff>0</xdr:rowOff>
    </xdr:from>
    <xdr:to>
      <xdr:col>56</xdr:col>
      <xdr:colOff>730250</xdr:colOff>
      <xdr:row>2</xdr:row>
      <xdr:rowOff>175847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705CD3E-8959-4556-87EE-C594403448BA}"/>
            </a:ext>
          </a:extLst>
        </xdr:cNvPr>
        <xdr:cNvSpPr/>
      </xdr:nvSpPr>
      <xdr:spPr>
        <a:xfrm>
          <a:off x="16470923" y="0"/>
          <a:ext cx="11630367" cy="541607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  <a:prstDash val="solid"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3600" b="1">
              <a:solidFill>
                <a:schemeClr val="tx1"/>
              </a:solidFill>
              <a:latin typeface="Aparajita" panose="02020603050405020304" pitchFamily="18" charset="0"/>
              <a:cs typeface="Aparajita" panose="02020603050405020304" pitchFamily="18" charset="0"/>
            </a:rPr>
            <a:t>Monthly  Report</a:t>
          </a:r>
        </a:p>
      </xdr:txBody>
    </xdr:sp>
    <xdr:clientData/>
  </xdr:twoCellAnchor>
  <xdr:twoCellAnchor>
    <xdr:from>
      <xdr:col>6</xdr:col>
      <xdr:colOff>396876</xdr:colOff>
      <xdr:row>0</xdr:row>
      <xdr:rowOff>126999</xdr:rowOff>
    </xdr:from>
    <xdr:to>
      <xdr:col>7</xdr:col>
      <xdr:colOff>474042</xdr:colOff>
      <xdr:row>2</xdr:row>
      <xdr:rowOff>39687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70C69069-AAB7-4DC0-87C2-A9FD3ACB9689}"/>
            </a:ext>
          </a:extLst>
        </xdr:cNvPr>
        <xdr:cNvSpPr/>
      </xdr:nvSpPr>
      <xdr:spPr>
        <a:xfrm>
          <a:off x="3879216" y="126999"/>
          <a:ext cx="1060146" cy="278448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To</a:t>
          </a:r>
        </a:p>
      </xdr:txBody>
    </xdr:sp>
    <xdr:clientData/>
  </xdr:twoCellAnchor>
  <xdr:twoCellAnchor>
    <xdr:from>
      <xdr:col>7</xdr:col>
      <xdr:colOff>461964</xdr:colOff>
      <xdr:row>0</xdr:row>
      <xdr:rowOff>128585</xdr:rowOff>
    </xdr:from>
    <xdr:to>
      <xdr:col>8</xdr:col>
      <xdr:colOff>500064</xdr:colOff>
      <xdr:row>2</xdr:row>
      <xdr:rowOff>39137</xdr:rowOff>
    </xdr:to>
    <xdr:sp macro="" textlink="$J$5">
      <xdr:nvSpPr>
        <xdr:cNvPr id="18" name="Rectangle 17">
          <a:extLst>
            <a:ext uri="{FF2B5EF4-FFF2-40B4-BE49-F238E27FC236}">
              <a16:creationId xmlns:a16="http://schemas.microsoft.com/office/drawing/2014/main" id="{CD13DBB6-C444-4A77-96F6-8DD9D1989CD7}"/>
            </a:ext>
          </a:extLst>
        </xdr:cNvPr>
        <xdr:cNvSpPr/>
      </xdr:nvSpPr>
      <xdr:spPr>
        <a:xfrm>
          <a:off x="4927284" y="128585"/>
          <a:ext cx="1325880" cy="27631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EDA3192-0DC9-41BE-8537-F40AE859E52F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31-Mar-2025</a:t>
          </a:fld>
          <a:endParaRPr lang="en-US" sz="1200" b="1"/>
        </a:p>
      </xdr:txBody>
    </xdr:sp>
    <xdr:clientData/>
  </xdr:twoCellAnchor>
  <xdr:twoCellAnchor>
    <xdr:from>
      <xdr:col>2</xdr:col>
      <xdr:colOff>39688</xdr:colOff>
      <xdr:row>0</xdr:row>
      <xdr:rowOff>142875</xdr:rowOff>
    </xdr:from>
    <xdr:to>
      <xdr:col>3</xdr:col>
      <xdr:colOff>481979</xdr:colOff>
      <xdr:row>2</xdr:row>
      <xdr:rowOff>55563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986B64BA-3BF3-4F25-BBD9-B976DEC00B59}"/>
            </a:ext>
          </a:extLst>
        </xdr:cNvPr>
        <xdr:cNvSpPr/>
      </xdr:nvSpPr>
      <xdr:spPr>
        <a:xfrm>
          <a:off x="1258888" y="142875"/>
          <a:ext cx="1051891" cy="278448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From</a:t>
          </a:r>
        </a:p>
      </xdr:txBody>
    </xdr:sp>
    <xdr:clientData/>
  </xdr:twoCellAnchor>
  <xdr:twoCellAnchor>
    <xdr:from>
      <xdr:col>3</xdr:col>
      <xdr:colOff>493713</xdr:colOff>
      <xdr:row>0</xdr:row>
      <xdr:rowOff>144461</xdr:rowOff>
    </xdr:from>
    <xdr:to>
      <xdr:col>6</xdr:col>
      <xdr:colOff>150813</xdr:colOff>
      <xdr:row>2</xdr:row>
      <xdr:rowOff>55013</xdr:rowOff>
    </xdr:to>
    <xdr:sp macro="" textlink="$G$5">
      <xdr:nvSpPr>
        <xdr:cNvPr id="20" name="Rectangle 19">
          <a:extLst>
            <a:ext uri="{FF2B5EF4-FFF2-40B4-BE49-F238E27FC236}">
              <a16:creationId xmlns:a16="http://schemas.microsoft.com/office/drawing/2014/main" id="{62AFC4E0-DC9A-4408-B925-41E5A81603D2}"/>
            </a:ext>
          </a:extLst>
        </xdr:cNvPr>
        <xdr:cNvSpPr/>
      </xdr:nvSpPr>
      <xdr:spPr>
        <a:xfrm>
          <a:off x="2322513" y="144461"/>
          <a:ext cx="1310640" cy="27631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7D7D287-93FA-4632-B81E-C1A385C8653B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01-Mar-2025</a:t>
          </a:fld>
          <a:endParaRPr lang="en-US" sz="1200" b="1"/>
        </a:p>
      </xdr:txBody>
    </xdr:sp>
    <xdr:clientData/>
  </xdr:twoCellAnchor>
  <xdr:twoCellAnchor>
    <xdr:from>
      <xdr:col>10</xdr:col>
      <xdr:colOff>129540</xdr:colOff>
      <xdr:row>0</xdr:row>
      <xdr:rowOff>99060</xdr:rowOff>
    </xdr:from>
    <xdr:to>
      <xdr:col>24</xdr:col>
      <xdr:colOff>53340</xdr:colOff>
      <xdr:row>2</xdr:row>
      <xdr:rowOff>45720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CB471CA5-DCA6-46E4-9C6C-F92CDB273E23}"/>
            </a:ext>
          </a:extLst>
        </xdr:cNvPr>
        <xdr:cNvSpPr/>
      </xdr:nvSpPr>
      <xdr:spPr>
        <a:xfrm>
          <a:off x="6987540" y="99060"/>
          <a:ext cx="3855720" cy="31242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152400</xdr:colOff>
      <xdr:row>0</xdr:row>
      <xdr:rowOff>91440</xdr:rowOff>
    </xdr:from>
    <xdr:to>
      <xdr:col>22</xdr:col>
      <xdr:colOff>91440</xdr:colOff>
      <xdr:row>2</xdr:row>
      <xdr:rowOff>76200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E785E31C-8D1C-4BA6-871F-55C4E07F3794}"/>
            </a:ext>
          </a:extLst>
        </xdr:cNvPr>
        <xdr:cNvSpPr/>
      </xdr:nvSpPr>
      <xdr:spPr>
        <a:xfrm>
          <a:off x="7284720" y="91440"/>
          <a:ext cx="2994660" cy="3505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chemeClr val="tx1"/>
              </a:solidFill>
            </a:rPr>
            <a:t>Dashboard</a:t>
          </a:r>
          <a:r>
            <a:rPr lang="en-US" sz="1400" b="1" baseline="0">
              <a:solidFill>
                <a:schemeClr val="tx1"/>
              </a:solidFill>
            </a:rPr>
            <a:t> For The Month Of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10</xdr:col>
      <xdr:colOff>121920</xdr:colOff>
      <xdr:row>0</xdr:row>
      <xdr:rowOff>106680</xdr:rowOff>
    </xdr:from>
    <xdr:to>
      <xdr:col>11</xdr:col>
      <xdr:colOff>176231</xdr:colOff>
      <xdr:row>2</xdr:row>
      <xdr:rowOff>36594</xdr:rowOff>
    </xdr:to>
    <xdr:pic>
      <xdr:nvPicPr>
        <xdr:cNvPr id="23" name="Graphic 22" descr="Research with solid fill">
          <a:extLst>
            <a:ext uri="{FF2B5EF4-FFF2-40B4-BE49-F238E27FC236}">
              <a16:creationId xmlns:a16="http://schemas.microsoft.com/office/drawing/2014/main" id="{5429E9EC-6ED7-4D77-8330-FCBE54459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6979920" y="106680"/>
          <a:ext cx="328631" cy="295674"/>
        </a:xfrm>
        <a:prstGeom prst="rect">
          <a:avLst/>
        </a:prstGeom>
      </xdr:spPr>
    </xdr:pic>
    <xdr:clientData/>
  </xdr:twoCellAnchor>
  <xdr:twoCellAnchor>
    <xdr:from>
      <xdr:col>19</xdr:col>
      <xdr:colOff>167640</xdr:colOff>
      <xdr:row>0</xdr:row>
      <xdr:rowOff>60960</xdr:rowOff>
    </xdr:from>
    <xdr:to>
      <xdr:col>23</xdr:col>
      <xdr:colOff>228600</xdr:colOff>
      <xdr:row>2</xdr:row>
      <xdr:rowOff>45720</xdr:rowOff>
    </xdr:to>
    <xdr:sp macro="" textlink="$E$5">
      <xdr:nvSpPr>
        <xdr:cNvPr id="24" name="Rectangle: Rounded Corners 23">
          <a:extLst>
            <a:ext uri="{FF2B5EF4-FFF2-40B4-BE49-F238E27FC236}">
              <a16:creationId xmlns:a16="http://schemas.microsoft.com/office/drawing/2014/main" id="{631387FD-7922-47EC-B874-56EBF5F271FF}"/>
            </a:ext>
          </a:extLst>
        </xdr:cNvPr>
        <xdr:cNvSpPr/>
      </xdr:nvSpPr>
      <xdr:spPr>
        <a:xfrm>
          <a:off x="9517380" y="60960"/>
          <a:ext cx="1173480" cy="3505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B9C85A59-FB1C-438C-92E4-56515B55565E}" type="TxLink">
            <a:rPr lang="en-US" sz="1600" b="1" i="0" u="none" strike="noStrike">
              <a:solidFill>
                <a:schemeClr val="accent2"/>
              </a:solidFill>
              <a:latin typeface="Calibri"/>
              <a:ea typeface="Calibri"/>
              <a:cs typeface="Calibri"/>
            </a:rPr>
            <a:pPr algn="l"/>
            <a:t>March</a:t>
          </a:fld>
          <a:endParaRPr lang="en-US" sz="1600" b="1">
            <a:solidFill>
              <a:schemeClr val="accent2"/>
            </a:solidFill>
          </a:endParaRPr>
        </a:p>
      </xdr:txBody>
    </xdr:sp>
    <xdr:clientData/>
  </xdr:twoCellAnchor>
  <xdr:twoCellAnchor>
    <xdr:from>
      <xdr:col>27</xdr:col>
      <xdr:colOff>60960</xdr:colOff>
      <xdr:row>0</xdr:row>
      <xdr:rowOff>91440</xdr:rowOff>
    </xdr:from>
    <xdr:to>
      <xdr:col>29</xdr:col>
      <xdr:colOff>53340</xdr:colOff>
      <xdr:row>2</xdr:row>
      <xdr:rowOff>7620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32F8AB5-E2FD-4888-A666-133B47E1385D}"/>
            </a:ext>
          </a:extLst>
        </xdr:cNvPr>
        <xdr:cNvSpPr/>
      </xdr:nvSpPr>
      <xdr:spPr>
        <a:xfrm>
          <a:off x="11605260" y="914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🟢</a:t>
          </a:r>
        </a:p>
      </xdr:txBody>
    </xdr:sp>
    <xdr:clientData/>
  </xdr:twoCellAnchor>
  <xdr:twoCellAnchor>
    <xdr:from>
      <xdr:col>27</xdr:col>
      <xdr:colOff>23497</xdr:colOff>
      <xdr:row>0</xdr:row>
      <xdr:rowOff>67625</xdr:rowOff>
    </xdr:from>
    <xdr:to>
      <xdr:col>31</xdr:col>
      <xdr:colOff>145417</xdr:colOff>
      <xdr:row>1</xdr:row>
      <xdr:rowOff>161057</xdr:rowOff>
    </xdr:to>
    <xdr:sp macro="" textlink="$J$5">
      <xdr:nvSpPr>
        <xdr:cNvPr id="26" name="Rectangle 25">
          <a:extLst>
            <a:ext uri="{FF2B5EF4-FFF2-40B4-BE49-F238E27FC236}">
              <a16:creationId xmlns:a16="http://schemas.microsoft.com/office/drawing/2014/main" id="{65599982-A08F-4243-A177-3CECFBE813F4}"/>
            </a:ext>
          </a:extLst>
        </xdr:cNvPr>
        <xdr:cNvSpPr/>
      </xdr:nvSpPr>
      <xdr:spPr>
        <a:xfrm>
          <a:off x="11567797" y="6762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Present</a:t>
          </a:r>
        </a:p>
      </xdr:txBody>
    </xdr:sp>
    <xdr:clientData/>
  </xdr:twoCellAnchor>
  <xdr:twoCellAnchor>
    <xdr:from>
      <xdr:col>27</xdr:col>
      <xdr:colOff>213360</xdr:colOff>
      <xdr:row>1</xdr:row>
      <xdr:rowOff>60960</xdr:rowOff>
    </xdr:from>
    <xdr:to>
      <xdr:col>29</xdr:col>
      <xdr:colOff>205740</xdr:colOff>
      <xdr:row>2</xdr:row>
      <xdr:rowOff>160020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4E0960AC-45C5-4202-971A-99D543E8DA89}"/>
            </a:ext>
          </a:extLst>
        </xdr:cNvPr>
        <xdr:cNvSpPr/>
      </xdr:nvSpPr>
      <xdr:spPr>
        <a:xfrm>
          <a:off x="11757660" y="2438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900"/>
        </a:p>
      </xdr:txBody>
    </xdr:sp>
    <xdr:clientData/>
  </xdr:twoCellAnchor>
  <xdr:twoCellAnchor>
    <xdr:from>
      <xdr:col>34</xdr:col>
      <xdr:colOff>7620</xdr:colOff>
      <xdr:row>0</xdr:row>
      <xdr:rowOff>106680</xdr:rowOff>
    </xdr:from>
    <xdr:to>
      <xdr:col>36</xdr:col>
      <xdr:colOff>0</xdr:colOff>
      <xdr:row>2</xdr:row>
      <xdr:rowOff>22860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F38E6D81-7598-4F85-9787-2147E4481449}"/>
            </a:ext>
          </a:extLst>
        </xdr:cNvPr>
        <xdr:cNvSpPr/>
      </xdr:nvSpPr>
      <xdr:spPr>
        <a:xfrm>
          <a:off x="13540740" y="10668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>
              <a:solidFill>
                <a:schemeClr val="accent2"/>
              </a:solidFill>
            </a:rPr>
            <a:t>.🟡</a:t>
          </a:r>
        </a:p>
      </xdr:txBody>
    </xdr:sp>
    <xdr:clientData/>
  </xdr:twoCellAnchor>
  <xdr:twoCellAnchor>
    <xdr:from>
      <xdr:col>33</xdr:col>
      <xdr:colOff>213997</xdr:colOff>
      <xdr:row>0</xdr:row>
      <xdr:rowOff>82865</xdr:rowOff>
    </xdr:from>
    <xdr:to>
      <xdr:col>38</xdr:col>
      <xdr:colOff>92077</xdr:colOff>
      <xdr:row>1</xdr:row>
      <xdr:rowOff>176297</xdr:rowOff>
    </xdr:to>
    <xdr:sp macro="" textlink="$J$5">
      <xdr:nvSpPr>
        <xdr:cNvPr id="29" name="Rectangle 28">
          <a:extLst>
            <a:ext uri="{FF2B5EF4-FFF2-40B4-BE49-F238E27FC236}">
              <a16:creationId xmlns:a16="http://schemas.microsoft.com/office/drawing/2014/main" id="{76DDB78F-E17D-4E7F-B727-E4087321DABD}"/>
            </a:ext>
          </a:extLst>
        </xdr:cNvPr>
        <xdr:cNvSpPr/>
      </xdr:nvSpPr>
      <xdr:spPr>
        <a:xfrm>
          <a:off x="13503277" y="8286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Leave</a:t>
          </a:r>
        </a:p>
      </xdr:txBody>
    </xdr:sp>
    <xdr:clientData/>
  </xdr:twoCellAnchor>
  <xdr:twoCellAnchor>
    <xdr:from>
      <xdr:col>30</xdr:col>
      <xdr:colOff>167640</xdr:colOff>
      <xdr:row>0</xdr:row>
      <xdr:rowOff>91440</xdr:rowOff>
    </xdr:from>
    <xdr:to>
      <xdr:col>32</xdr:col>
      <xdr:colOff>152400</xdr:colOff>
      <xdr:row>2</xdr:row>
      <xdr:rowOff>7620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33940EE-F818-43F7-9F03-ADB627ADB010}"/>
            </a:ext>
          </a:extLst>
        </xdr:cNvPr>
        <xdr:cNvSpPr/>
      </xdr:nvSpPr>
      <xdr:spPr>
        <a:xfrm>
          <a:off x="12580620" y="914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🔴</a:t>
          </a:r>
        </a:p>
      </xdr:txBody>
    </xdr:sp>
    <xdr:clientData/>
  </xdr:twoCellAnchor>
  <xdr:twoCellAnchor>
    <xdr:from>
      <xdr:col>30</xdr:col>
      <xdr:colOff>99697</xdr:colOff>
      <xdr:row>0</xdr:row>
      <xdr:rowOff>82865</xdr:rowOff>
    </xdr:from>
    <xdr:to>
      <xdr:col>35</xdr:col>
      <xdr:colOff>31117</xdr:colOff>
      <xdr:row>1</xdr:row>
      <xdr:rowOff>176297</xdr:rowOff>
    </xdr:to>
    <xdr:sp macro="" textlink="$J$5">
      <xdr:nvSpPr>
        <xdr:cNvPr id="31" name="Rectangle 30">
          <a:extLst>
            <a:ext uri="{FF2B5EF4-FFF2-40B4-BE49-F238E27FC236}">
              <a16:creationId xmlns:a16="http://schemas.microsoft.com/office/drawing/2014/main" id="{1C51CE14-582B-4B6A-BFE4-EE3E90C18591}"/>
            </a:ext>
          </a:extLst>
        </xdr:cNvPr>
        <xdr:cNvSpPr/>
      </xdr:nvSpPr>
      <xdr:spPr>
        <a:xfrm>
          <a:off x="12512677" y="8286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Absent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0</xdr:rowOff>
    </xdr:from>
    <xdr:to>
      <xdr:col>41</xdr:col>
      <xdr:colOff>45720</xdr:colOff>
      <xdr:row>2</xdr:row>
      <xdr:rowOff>162365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983AB2F-494F-4912-8FB6-14A27F515EB3}"/>
            </a:ext>
          </a:extLst>
        </xdr:cNvPr>
        <xdr:cNvSpPr/>
      </xdr:nvSpPr>
      <xdr:spPr>
        <a:xfrm>
          <a:off x="1257300" y="0"/>
          <a:ext cx="14638020" cy="52812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45719</xdr:colOff>
      <xdr:row>33</xdr:row>
      <xdr:rowOff>160020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4041BB1-82A4-4296-9D2C-8FDE27B86485}"/>
            </a:ext>
          </a:extLst>
        </xdr:cNvPr>
        <xdr:cNvSpPr/>
      </xdr:nvSpPr>
      <xdr:spPr>
        <a:xfrm flipH="1" flipV="1">
          <a:off x="0" y="0"/>
          <a:ext cx="1264919" cy="6271260"/>
        </a:xfrm>
        <a:prstGeom prst="rect">
          <a:avLst/>
        </a:prstGeom>
        <a:solidFill>
          <a:schemeClr val="tx1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7620</xdr:colOff>
      <xdr:row>3</xdr:row>
      <xdr:rowOff>137160</xdr:rowOff>
    </xdr:from>
    <xdr:to>
      <xdr:col>2</xdr:col>
      <xdr:colOff>472440</xdr:colOff>
      <xdr:row>5</xdr:row>
      <xdr:rowOff>76200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EF502-4742-4E27-9D7C-EA67171A1275}"/>
            </a:ext>
          </a:extLst>
        </xdr:cNvPr>
        <xdr:cNvSpPr/>
      </xdr:nvSpPr>
      <xdr:spPr>
        <a:xfrm>
          <a:off x="7620" y="68580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January </a:t>
          </a:r>
        </a:p>
      </xdr:txBody>
    </xdr:sp>
    <xdr:clientData/>
  </xdr:twoCellAnchor>
  <xdr:twoCellAnchor>
    <xdr:from>
      <xdr:col>0</xdr:col>
      <xdr:colOff>0</xdr:colOff>
      <xdr:row>5</xdr:row>
      <xdr:rowOff>144780</xdr:rowOff>
    </xdr:from>
    <xdr:to>
      <xdr:col>2</xdr:col>
      <xdr:colOff>464820</xdr:colOff>
      <xdr:row>7</xdr:row>
      <xdr:rowOff>76200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CADA8B2-802A-40D2-8902-209AF0B82EC0}"/>
            </a:ext>
          </a:extLst>
        </xdr:cNvPr>
        <xdr:cNvSpPr/>
      </xdr:nvSpPr>
      <xdr:spPr>
        <a:xfrm>
          <a:off x="0" y="1059180"/>
          <a:ext cx="1684020" cy="31242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bg1"/>
              </a:solidFill>
            </a:rPr>
            <a:t>February</a:t>
          </a:r>
          <a:r>
            <a:rPr lang="en-US" sz="1200"/>
            <a:t> </a:t>
          </a:r>
        </a:p>
      </xdr:txBody>
    </xdr:sp>
    <xdr:clientData/>
  </xdr:twoCellAnchor>
  <xdr:twoCellAnchor>
    <xdr:from>
      <xdr:col>0</xdr:col>
      <xdr:colOff>0</xdr:colOff>
      <xdr:row>7</xdr:row>
      <xdr:rowOff>137160</xdr:rowOff>
    </xdr:from>
    <xdr:to>
      <xdr:col>2</xdr:col>
      <xdr:colOff>464820</xdr:colOff>
      <xdr:row>9</xdr:row>
      <xdr:rowOff>38100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FF7EFFA-05CF-4B4F-8F93-219CEC61C697}"/>
            </a:ext>
          </a:extLst>
        </xdr:cNvPr>
        <xdr:cNvSpPr/>
      </xdr:nvSpPr>
      <xdr:spPr>
        <a:xfrm>
          <a:off x="0" y="1432560"/>
          <a:ext cx="1684020" cy="32004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March</a:t>
          </a:r>
        </a:p>
      </xdr:txBody>
    </xdr:sp>
    <xdr:clientData/>
  </xdr:twoCellAnchor>
  <xdr:twoCellAnchor>
    <xdr:from>
      <xdr:col>0</xdr:col>
      <xdr:colOff>472440</xdr:colOff>
      <xdr:row>9</xdr:row>
      <xdr:rowOff>121920</xdr:rowOff>
    </xdr:from>
    <xdr:to>
      <xdr:col>3</xdr:col>
      <xdr:colOff>327660</xdr:colOff>
      <xdr:row>11</xdr:row>
      <xdr:rowOff>60960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4D5569D-0B1E-4128-8A95-16C7080DB468}"/>
            </a:ext>
          </a:extLst>
        </xdr:cNvPr>
        <xdr:cNvSpPr/>
      </xdr:nvSpPr>
      <xdr:spPr>
        <a:xfrm>
          <a:off x="472440" y="1836420"/>
          <a:ext cx="1684020" cy="3048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tx1"/>
              </a:solidFill>
              <a:latin typeface="+mn-lt"/>
              <a:ea typeface="+mn-ea"/>
              <a:cs typeface="+mn-cs"/>
            </a:rPr>
            <a:t>April </a:t>
          </a:r>
        </a:p>
      </xdr:txBody>
    </xdr:sp>
    <xdr:clientData/>
  </xdr:twoCellAnchor>
  <xdr:twoCellAnchor>
    <xdr:from>
      <xdr:col>0</xdr:col>
      <xdr:colOff>0</xdr:colOff>
      <xdr:row>11</xdr:row>
      <xdr:rowOff>121920</xdr:rowOff>
    </xdr:from>
    <xdr:to>
      <xdr:col>2</xdr:col>
      <xdr:colOff>464820</xdr:colOff>
      <xdr:row>13</xdr:row>
      <xdr:rowOff>60960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CD676CE-C7E9-4AE4-AF44-11295B107024}"/>
            </a:ext>
          </a:extLst>
        </xdr:cNvPr>
        <xdr:cNvSpPr/>
      </xdr:nvSpPr>
      <xdr:spPr>
        <a:xfrm>
          <a:off x="0" y="220218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May </a:t>
          </a:r>
        </a:p>
      </xdr:txBody>
    </xdr:sp>
    <xdr:clientData/>
  </xdr:twoCellAnchor>
  <xdr:twoCellAnchor>
    <xdr:from>
      <xdr:col>0</xdr:col>
      <xdr:colOff>0</xdr:colOff>
      <xdr:row>23</xdr:row>
      <xdr:rowOff>167640</xdr:rowOff>
    </xdr:from>
    <xdr:to>
      <xdr:col>2</xdr:col>
      <xdr:colOff>464820</xdr:colOff>
      <xdr:row>25</xdr:row>
      <xdr:rowOff>106680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8C81879-876B-4438-A54F-E81684EC9C40}"/>
            </a:ext>
          </a:extLst>
        </xdr:cNvPr>
        <xdr:cNvSpPr/>
      </xdr:nvSpPr>
      <xdr:spPr>
        <a:xfrm>
          <a:off x="0" y="444246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November </a:t>
          </a:r>
        </a:p>
      </xdr:txBody>
    </xdr:sp>
    <xdr:clientData/>
  </xdr:twoCellAnchor>
  <xdr:twoCellAnchor>
    <xdr:from>
      <xdr:col>0</xdr:col>
      <xdr:colOff>0</xdr:colOff>
      <xdr:row>25</xdr:row>
      <xdr:rowOff>175260</xdr:rowOff>
    </xdr:from>
    <xdr:to>
      <xdr:col>2</xdr:col>
      <xdr:colOff>464820</xdr:colOff>
      <xdr:row>27</xdr:row>
      <xdr:rowOff>114300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E7E49D2-9042-4BC3-8172-5B3642B9C26B}"/>
            </a:ext>
          </a:extLst>
        </xdr:cNvPr>
        <xdr:cNvSpPr/>
      </xdr:nvSpPr>
      <xdr:spPr>
        <a:xfrm>
          <a:off x="0" y="481584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December </a:t>
          </a:r>
        </a:p>
      </xdr:txBody>
    </xdr:sp>
    <xdr:clientData/>
  </xdr:twoCellAnchor>
  <xdr:twoCellAnchor>
    <xdr:from>
      <xdr:col>0</xdr:col>
      <xdr:colOff>0</xdr:colOff>
      <xdr:row>13</xdr:row>
      <xdr:rowOff>121920</xdr:rowOff>
    </xdr:from>
    <xdr:to>
      <xdr:col>2</xdr:col>
      <xdr:colOff>464820</xdr:colOff>
      <xdr:row>15</xdr:row>
      <xdr:rowOff>60960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3F0C0B8-0832-4FA0-8D56-313E9599B655}"/>
            </a:ext>
          </a:extLst>
        </xdr:cNvPr>
        <xdr:cNvSpPr/>
      </xdr:nvSpPr>
      <xdr:spPr>
        <a:xfrm>
          <a:off x="0" y="256794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bg1"/>
              </a:solidFill>
            </a:rPr>
            <a:t>June</a:t>
          </a:r>
          <a:endParaRPr lang="en-US" sz="1200"/>
        </a:p>
      </xdr:txBody>
    </xdr:sp>
    <xdr:clientData/>
  </xdr:twoCellAnchor>
  <xdr:twoCellAnchor>
    <xdr:from>
      <xdr:col>0</xdr:col>
      <xdr:colOff>0</xdr:colOff>
      <xdr:row>15</xdr:row>
      <xdr:rowOff>129540</xdr:rowOff>
    </xdr:from>
    <xdr:to>
      <xdr:col>2</xdr:col>
      <xdr:colOff>464820</xdr:colOff>
      <xdr:row>17</xdr:row>
      <xdr:rowOff>68580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FAA0ECC-0641-4710-8FDC-797AF2327C40}"/>
            </a:ext>
          </a:extLst>
        </xdr:cNvPr>
        <xdr:cNvSpPr/>
      </xdr:nvSpPr>
      <xdr:spPr>
        <a:xfrm>
          <a:off x="0" y="294132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July</a:t>
          </a:r>
        </a:p>
      </xdr:txBody>
    </xdr:sp>
    <xdr:clientData/>
  </xdr:twoCellAnchor>
  <xdr:twoCellAnchor>
    <xdr:from>
      <xdr:col>0</xdr:col>
      <xdr:colOff>0</xdr:colOff>
      <xdr:row>17</xdr:row>
      <xdr:rowOff>137160</xdr:rowOff>
    </xdr:from>
    <xdr:to>
      <xdr:col>2</xdr:col>
      <xdr:colOff>464820</xdr:colOff>
      <xdr:row>19</xdr:row>
      <xdr:rowOff>76200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D65FFB9-8AA6-4945-9FC2-E237A2E81F06}"/>
            </a:ext>
          </a:extLst>
        </xdr:cNvPr>
        <xdr:cNvSpPr/>
      </xdr:nvSpPr>
      <xdr:spPr>
        <a:xfrm>
          <a:off x="0" y="331470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August</a:t>
          </a:r>
        </a:p>
      </xdr:txBody>
    </xdr:sp>
    <xdr:clientData/>
  </xdr:twoCellAnchor>
  <xdr:twoCellAnchor>
    <xdr:from>
      <xdr:col>0</xdr:col>
      <xdr:colOff>0</xdr:colOff>
      <xdr:row>19</xdr:row>
      <xdr:rowOff>144780</xdr:rowOff>
    </xdr:from>
    <xdr:to>
      <xdr:col>2</xdr:col>
      <xdr:colOff>464820</xdr:colOff>
      <xdr:row>21</xdr:row>
      <xdr:rowOff>83820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D5F5327-F255-4C50-9D58-1B00F334288B}"/>
            </a:ext>
          </a:extLst>
        </xdr:cNvPr>
        <xdr:cNvSpPr/>
      </xdr:nvSpPr>
      <xdr:spPr>
        <a:xfrm>
          <a:off x="0" y="368808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September</a:t>
          </a:r>
        </a:p>
      </xdr:txBody>
    </xdr:sp>
    <xdr:clientData/>
  </xdr:twoCellAnchor>
  <xdr:twoCellAnchor>
    <xdr:from>
      <xdr:col>0</xdr:col>
      <xdr:colOff>0</xdr:colOff>
      <xdr:row>21</xdr:row>
      <xdr:rowOff>152400</xdr:rowOff>
    </xdr:from>
    <xdr:to>
      <xdr:col>2</xdr:col>
      <xdr:colOff>464820</xdr:colOff>
      <xdr:row>23</xdr:row>
      <xdr:rowOff>91440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DFCB7572-11B6-4197-A883-4D90B3FB0F72}"/>
            </a:ext>
          </a:extLst>
        </xdr:cNvPr>
        <xdr:cNvSpPr/>
      </xdr:nvSpPr>
      <xdr:spPr>
        <a:xfrm>
          <a:off x="0" y="406146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October</a:t>
          </a:r>
        </a:p>
      </xdr:txBody>
    </xdr:sp>
    <xdr:clientData/>
  </xdr:twoCellAnchor>
  <xdr:twoCellAnchor>
    <xdr:from>
      <xdr:col>42</xdr:col>
      <xdr:colOff>11723</xdr:colOff>
      <xdr:row>0</xdr:row>
      <xdr:rowOff>0</xdr:rowOff>
    </xdr:from>
    <xdr:to>
      <xdr:col>56</xdr:col>
      <xdr:colOff>730250</xdr:colOff>
      <xdr:row>2</xdr:row>
      <xdr:rowOff>175847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B132D58B-61D5-4C8A-AF33-EDF4237AFBE3}"/>
            </a:ext>
          </a:extLst>
        </xdr:cNvPr>
        <xdr:cNvSpPr/>
      </xdr:nvSpPr>
      <xdr:spPr>
        <a:xfrm>
          <a:off x="16470923" y="0"/>
          <a:ext cx="11630367" cy="541607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  <a:prstDash val="solid"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3600" b="1">
              <a:solidFill>
                <a:schemeClr val="tx1"/>
              </a:solidFill>
              <a:latin typeface="Aparajita" panose="02020603050405020304" pitchFamily="18" charset="0"/>
              <a:cs typeface="Aparajita" panose="02020603050405020304" pitchFamily="18" charset="0"/>
            </a:rPr>
            <a:t>Monthly  Report</a:t>
          </a:r>
        </a:p>
      </xdr:txBody>
    </xdr:sp>
    <xdr:clientData/>
  </xdr:twoCellAnchor>
  <xdr:twoCellAnchor>
    <xdr:from>
      <xdr:col>6</xdr:col>
      <xdr:colOff>396876</xdr:colOff>
      <xdr:row>0</xdr:row>
      <xdr:rowOff>126999</xdr:rowOff>
    </xdr:from>
    <xdr:to>
      <xdr:col>7</xdr:col>
      <xdr:colOff>474042</xdr:colOff>
      <xdr:row>2</xdr:row>
      <xdr:rowOff>39687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83D25DB-B59E-43BF-908F-0257CC5B6D20}"/>
            </a:ext>
          </a:extLst>
        </xdr:cNvPr>
        <xdr:cNvSpPr/>
      </xdr:nvSpPr>
      <xdr:spPr>
        <a:xfrm>
          <a:off x="3879216" y="126999"/>
          <a:ext cx="1060146" cy="278448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To</a:t>
          </a:r>
        </a:p>
      </xdr:txBody>
    </xdr:sp>
    <xdr:clientData/>
  </xdr:twoCellAnchor>
  <xdr:twoCellAnchor>
    <xdr:from>
      <xdr:col>7</xdr:col>
      <xdr:colOff>461964</xdr:colOff>
      <xdr:row>0</xdr:row>
      <xdr:rowOff>128585</xdr:rowOff>
    </xdr:from>
    <xdr:to>
      <xdr:col>8</xdr:col>
      <xdr:colOff>500064</xdr:colOff>
      <xdr:row>2</xdr:row>
      <xdr:rowOff>39137</xdr:rowOff>
    </xdr:to>
    <xdr:sp macro="" textlink="$J$5">
      <xdr:nvSpPr>
        <xdr:cNvPr id="18" name="Rectangle 17">
          <a:extLst>
            <a:ext uri="{FF2B5EF4-FFF2-40B4-BE49-F238E27FC236}">
              <a16:creationId xmlns:a16="http://schemas.microsoft.com/office/drawing/2014/main" id="{58AF3834-F6A1-4BE8-A241-2C403304970D}"/>
            </a:ext>
          </a:extLst>
        </xdr:cNvPr>
        <xdr:cNvSpPr/>
      </xdr:nvSpPr>
      <xdr:spPr>
        <a:xfrm>
          <a:off x="4927284" y="128585"/>
          <a:ext cx="1325880" cy="27631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EDA3192-0DC9-41BE-8537-F40AE859E52F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30-Apr-2025</a:t>
          </a:fld>
          <a:endParaRPr lang="en-US" sz="1200" b="1"/>
        </a:p>
      </xdr:txBody>
    </xdr:sp>
    <xdr:clientData/>
  </xdr:twoCellAnchor>
  <xdr:twoCellAnchor>
    <xdr:from>
      <xdr:col>2</xdr:col>
      <xdr:colOff>39688</xdr:colOff>
      <xdr:row>0</xdr:row>
      <xdr:rowOff>142875</xdr:rowOff>
    </xdr:from>
    <xdr:to>
      <xdr:col>3</xdr:col>
      <xdr:colOff>481979</xdr:colOff>
      <xdr:row>2</xdr:row>
      <xdr:rowOff>55563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AAD94E55-7D32-4197-83AD-7B733F173222}"/>
            </a:ext>
          </a:extLst>
        </xdr:cNvPr>
        <xdr:cNvSpPr/>
      </xdr:nvSpPr>
      <xdr:spPr>
        <a:xfrm>
          <a:off x="1258888" y="142875"/>
          <a:ext cx="1051891" cy="278448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From</a:t>
          </a:r>
        </a:p>
      </xdr:txBody>
    </xdr:sp>
    <xdr:clientData/>
  </xdr:twoCellAnchor>
  <xdr:twoCellAnchor>
    <xdr:from>
      <xdr:col>3</xdr:col>
      <xdr:colOff>493713</xdr:colOff>
      <xdr:row>0</xdr:row>
      <xdr:rowOff>144461</xdr:rowOff>
    </xdr:from>
    <xdr:to>
      <xdr:col>6</xdr:col>
      <xdr:colOff>150813</xdr:colOff>
      <xdr:row>2</xdr:row>
      <xdr:rowOff>55013</xdr:rowOff>
    </xdr:to>
    <xdr:sp macro="" textlink="$G$5">
      <xdr:nvSpPr>
        <xdr:cNvPr id="20" name="Rectangle 19">
          <a:extLst>
            <a:ext uri="{FF2B5EF4-FFF2-40B4-BE49-F238E27FC236}">
              <a16:creationId xmlns:a16="http://schemas.microsoft.com/office/drawing/2014/main" id="{CE50BBCE-2C2E-4E0D-AFEB-18DC4F700DE2}"/>
            </a:ext>
          </a:extLst>
        </xdr:cNvPr>
        <xdr:cNvSpPr/>
      </xdr:nvSpPr>
      <xdr:spPr>
        <a:xfrm>
          <a:off x="2322513" y="144461"/>
          <a:ext cx="1310640" cy="27631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7D7D287-93FA-4632-B81E-C1A385C8653B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01-Apr-2025</a:t>
          </a:fld>
          <a:endParaRPr lang="en-US" sz="1200" b="1"/>
        </a:p>
      </xdr:txBody>
    </xdr:sp>
    <xdr:clientData/>
  </xdr:twoCellAnchor>
  <xdr:twoCellAnchor>
    <xdr:from>
      <xdr:col>10</xdr:col>
      <xdr:colOff>129540</xdr:colOff>
      <xdr:row>0</xdr:row>
      <xdr:rowOff>99060</xdr:rowOff>
    </xdr:from>
    <xdr:to>
      <xdr:col>24</xdr:col>
      <xdr:colOff>53340</xdr:colOff>
      <xdr:row>2</xdr:row>
      <xdr:rowOff>45720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F6BBABC-C7D3-4629-8773-906AA2D53B78}"/>
            </a:ext>
          </a:extLst>
        </xdr:cNvPr>
        <xdr:cNvSpPr/>
      </xdr:nvSpPr>
      <xdr:spPr>
        <a:xfrm>
          <a:off x="6987540" y="99060"/>
          <a:ext cx="3855720" cy="31242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152400</xdr:colOff>
      <xdr:row>0</xdr:row>
      <xdr:rowOff>91440</xdr:rowOff>
    </xdr:from>
    <xdr:to>
      <xdr:col>22</xdr:col>
      <xdr:colOff>91440</xdr:colOff>
      <xdr:row>2</xdr:row>
      <xdr:rowOff>76200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E092006-264C-41B0-B354-F9A7C977E019}"/>
            </a:ext>
          </a:extLst>
        </xdr:cNvPr>
        <xdr:cNvSpPr/>
      </xdr:nvSpPr>
      <xdr:spPr>
        <a:xfrm>
          <a:off x="7284720" y="91440"/>
          <a:ext cx="2994660" cy="3505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chemeClr val="tx1"/>
              </a:solidFill>
            </a:rPr>
            <a:t>Dashboard</a:t>
          </a:r>
          <a:r>
            <a:rPr lang="en-US" sz="1400" b="1" baseline="0">
              <a:solidFill>
                <a:schemeClr val="tx1"/>
              </a:solidFill>
            </a:rPr>
            <a:t> For The Month Of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10</xdr:col>
      <xdr:colOff>121920</xdr:colOff>
      <xdr:row>0</xdr:row>
      <xdr:rowOff>106680</xdr:rowOff>
    </xdr:from>
    <xdr:to>
      <xdr:col>11</xdr:col>
      <xdr:colOff>176231</xdr:colOff>
      <xdr:row>2</xdr:row>
      <xdr:rowOff>36594</xdr:rowOff>
    </xdr:to>
    <xdr:pic>
      <xdr:nvPicPr>
        <xdr:cNvPr id="23" name="Graphic 22" descr="Research with solid fill">
          <a:extLst>
            <a:ext uri="{FF2B5EF4-FFF2-40B4-BE49-F238E27FC236}">
              <a16:creationId xmlns:a16="http://schemas.microsoft.com/office/drawing/2014/main" id="{E0E2D703-C7FD-4B59-BE5A-301F4097D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6979920" y="106680"/>
          <a:ext cx="328631" cy="295674"/>
        </a:xfrm>
        <a:prstGeom prst="rect">
          <a:avLst/>
        </a:prstGeom>
      </xdr:spPr>
    </xdr:pic>
    <xdr:clientData/>
  </xdr:twoCellAnchor>
  <xdr:twoCellAnchor>
    <xdr:from>
      <xdr:col>19</xdr:col>
      <xdr:colOff>167640</xdr:colOff>
      <xdr:row>0</xdr:row>
      <xdr:rowOff>60960</xdr:rowOff>
    </xdr:from>
    <xdr:to>
      <xdr:col>23</xdr:col>
      <xdr:colOff>228600</xdr:colOff>
      <xdr:row>2</xdr:row>
      <xdr:rowOff>45720</xdr:rowOff>
    </xdr:to>
    <xdr:sp macro="" textlink="$E$5">
      <xdr:nvSpPr>
        <xdr:cNvPr id="24" name="Rectangle: Rounded Corners 23">
          <a:extLst>
            <a:ext uri="{FF2B5EF4-FFF2-40B4-BE49-F238E27FC236}">
              <a16:creationId xmlns:a16="http://schemas.microsoft.com/office/drawing/2014/main" id="{E2A7D1FE-EFA1-4DC4-B926-B207705CEFCC}"/>
            </a:ext>
          </a:extLst>
        </xdr:cNvPr>
        <xdr:cNvSpPr/>
      </xdr:nvSpPr>
      <xdr:spPr>
        <a:xfrm>
          <a:off x="9517380" y="60960"/>
          <a:ext cx="1173480" cy="3505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B9C85A59-FB1C-438C-92E4-56515B55565E}" type="TxLink">
            <a:rPr lang="en-US" sz="1600" b="1" i="0" u="none" strike="noStrike">
              <a:solidFill>
                <a:schemeClr val="accent2"/>
              </a:solidFill>
              <a:latin typeface="Calibri"/>
              <a:ea typeface="Calibri"/>
              <a:cs typeface="Calibri"/>
            </a:rPr>
            <a:pPr algn="l"/>
            <a:t>April</a:t>
          </a:fld>
          <a:endParaRPr lang="en-US" sz="1600" b="1">
            <a:solidFill>
              <a:schemeClr val="accent2"/>
            </a:solidFill>
          </a:endParaRPr>
        </a:p>
      </xdr:txBody>
    </xdr:sp>
    <xdr:clientData/>
  </xdr:twoCellAnchor>
  <xdr:twoCellAnchor>
    <xdr:from>
      <xdr:col>27</xdr:col>
      <xdr:colOff>60960</xdr:colOff>
      <xdr:row>0</xdr:row>
      <xdr:rowOff>91440</xdr:rowOff>
    </xdr:from>
    <xdr:to>
      <xdr:col>29</xdr:col>
      <xdr:colOff>53340</xdr:colOff>
      <xdr:row>2</xdr:row>
      <xdr:rowOff>7620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52394C77-A354-476D-9984-21D8A8CB4A3A}"/>
            </a:ext>
          </a:extLst>
        </xdr:cNvPr>
        <xdr:cNvSpPr/>
      </xdr:nvSpPr>
      <xdr:spPr>
        <a:xfrm>
          <a:off x="11605260" y="914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🟢</a:t>
          </a:r>
        </a:p>
      </xdr:txBody>
    </xdr:sp>
    <xdr:clientData/>
  </xdr:twoCellAnchor>
  <xdr:twoCellAnchor>
    <xdr:from>
      <xdr:col>27</xdr:col>
      <xdr:colOff>23497</xdr:colOff>
      <xdr:row>0</xdr:row>
      <xdr:rowOff>67625</xdr:rowOff>
    </xdr:from>
    <xdr:to>
      <xdr:col>31</xdr:col>
      <xdr:colOff>145417</xdr:colOff>
      <xdr:row>1</xdr:row>
      <xdr:rowOff>161057</xdr:rowOff>
    </xdr:to>
    <xdr:sp macro="" textlink="$J$5">
      <xdr:nvSpPr>
        <xdr:cNvPr id="26" name="Rectangle 25">
          <a:extLst>
            <a:ext uri="{FF2B5EF4-FFF2-40B4-BE49-F238E27FC236}">
              <a16:creationId xmlns:a16="http://schemas.microsoft.com/office/drawing/2014/main" id="{31C68609-7FDA-410C-9A3C-66760C30933A}"/>
            </a:ext>
          </a:extLst>
        </xdr:cNvPr>
        <xdr:cNvSpPr/>
      </xdr:nvSpPr>
      <xdr:spPr>
        <a:xfrm>
          <a:off x="11567797" y="6762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Present</a:t>
          </a:r>
        </a:p>
      </xdr:txBody>
    </xdr:sp>
    <xdr:clientData/>
  </xdr:twoCellAnchor>
  <xdr:twoCellAnchor>
    <xdr:from>
      <xdr:col>27</xdr:col>
      <xdr:colOff>213360</xdr:colOff>
      <xdr:row>1</xdr:row>
      <xdr:rowOff>60960</xdr:rowOff>
    </xdr:from>
    <xdr:to>
      <xdr:col>29</xdr:col>
      <xdr:colOff>205740</xdr:colOff>
      <xdr:row>2</xdr:row>
      <xdr:rowOff>160020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F062C8E2-D152-483F-8064-CEAE6500A362}"/>
            </a:ext>
          </a:extLst>
        </xdr:cNvPr>
        <xdr:cNvSpPr/>
      </xdr:nvSpPr>
      <xdr:spPr>
        <a:xfrm>
          <a:off x="11757660" y="2438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900"/>
        </a:p>
      </xdr:txBody>
    </xdr:sp>
    <xdr:clientData/>
  </xdr:twoCellAnchor>
  <xdr:twoCellAnchor>
    <xdr:from>
      <xdr:col>34</xdr:col>
      <xdr:colOff>7620</xdr:colOff>
      <xdr:row>0</xdr:row>
      <xdr:rowOff>106680</xdr:rowOff>
    </xdr:from>
    <xdr:to>
      <xdr:col>36</xdr:col>
      <xdr:colOff>0</xdr:colOff>
      <xdr:row>2</xdr:row>
      <xdr:rowOff>22860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A62F897C-E834-40F0-B04E-3F750DFB8592}"/>
            </a:ext>
          </a:extLst>
        </xdr:cNvPr>
        <xdr:cNvSpPr/>
      </xdr:nvSpPr>
      <xdr:spPr>
        <a:xfrm>
          <a:off x="13540740" y="10668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>
              <a:solidFill>
                <a:schemeClr val="accent2"/>
              </a:solidFill>
            </a:rPr>
            <a:t>.🟡</a:t>
          </a:r>
        </a:p>
      </xdr:txBody>
    </xdr:sp>
    <xdr:clientData/>
  </xdr:twoCellAnchor>
  <xdr:twoCellAnchor>
    <xdr:from>
      <xdr:col>33</xdr:col>
      <xdr:colOff>213997</xdr:colOff>
      <xdr:row>0</xdr:row>
      <xdr:rowOff>82865</xdr:rowOff>
    </xdr:from>
    <xdr:to>
      <xdr:col>38</xdr:col>
      <xdr:colOff>92077</xdr:colOff>
      <xdr:row>1</xdr:row>
      <xdr:rowOff>176297</xdr:rowOff>
    </xdr:to>
    <xdr:sp macro="" textlink="$J$5">
      <xdr:nvSpPr>
        <xdr:cNvPr id="29" name="Rectangle 28">
          <a:extLst>
            <a:ext uri="{FF2B5EF4-FFF2-40B4-BE49-F238E27FC236}">
              <a16:creationId xmlns:a16="http://schemas.microsoft.com/office/drawing/2014/main" id="{C2262563-624F-42C7-9E46-69D09F70B168}"/>
            </a:ext>
          </a:extLst>
        </xdr:cNvPr>
        <xdr:cNvSpPr/>
      </xdr:nvSpPr>
      <xdr:spPr>
        <a:xfrm>
          <a:off x="13503277" y="8286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Leave</a:t>
          </a:r>
        </a:p>
      </xdr:txBody>
    </xdr:sp>
    <xdr:clientData/>
  </xdr:twoCellAnchor>
  <xdr:twoCellAnchor>
    <xdr:from>
      <xdr:col>30</xdr:col>
      <xdr:colOff>167640</xdr:colOff>
      <xdr:row>0</xdr:row>
      <xdr:rowOff>91440</xdr:rowOff>
    </xdr:from>
    <xdr:to>
      <xdr:col>32</xdr:col>
      <xdr:colOff>152400</xdr:colOff>
      <xdr:row>2</xdr:row>
      <xdr:rowOff>7620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5ABE53A4-230C-46A0-963A-F02F21A5F98A}"/>
            </a:ext>
          </a:extLst>
        </xdr:cNvPr>
        <xdr:cNvSpPr/>
      </xdr:nvSpPr>
      <xdr:spPr>
        <a:xfrm>
          <a:off x="12580620" y="914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🔴</a:t>
          </a:r>
        </a:p>
      </xdr:txBody>
    </xdr:sp>
    <xdr:clientData/>
  </xdr:twoCellAnchor>
  <xdr:twoCellAnchor>
    <xdr:from>
      <xdr:col>30</xdr:col>
      <xdr:colOff>99697</xdr:colOff>
      <xdr:row>0</xdr:row>
      <xdr:rowOff>82865</xdr:rowOff>
    </xdr:from>
    <xdr:to>
      <xdr:col>35</xdr:col>
      <xdr:colOff>31117</xdr:colOff>
      <xdr:row>1</xdr:row>
      <xdr:rowOff>176297</xdr:rowOff>
    </xdr:to>
    <xdr:sp macro="" textlink="$J$5">
      <xdr:nvSpPr>
        <xdr:cNvPr id="31" name="Rectangle 30">
          <a:extLst>
            <a:ext uri="{FF2B5EF4-FFF2-40B4-BE49-F238E27FC236}">
              <a16:creationId xmlns:a16="http://schemas.microsoft.com/office/drawing/2014/main" id="{8D12E2C1-28B8-4390-91BC-B91EEACF5D81}"/>
            </a:ext>
          </a:extLst>
        </xdr:cNvPr>
        <xdr:cNvSpPr/>
      </xdr:nvSpPr>
      <xdr:spPr>
        <a:xfrm>
          <a:off x="12512677" y="8286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Absent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0</xdr:rowOff>
    </xdr:from>
    <xdr:to>
      <xdr:col>41</xdr:col>
      <xdr:colOff>45720</xdr:colOff>
      <xdr:row>2</xdr:row>
      <xdr:rowOff>162365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9303C24-69EE-45B5-96AA-201B7139F313}"/>
            </a:ext>
          </a:extLst>
        </xdr:cNvPr>
        <xdr:cNvSpPr/>
      </xdr:nvSpPr>
      <xdr:spPr>
        <a:xfrm>
          <a:off x="1257300" y="0"/>
          <a:ext cx="14638020" cy="52812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45719</xdr:colOff>
      <xdr:row>33</xdr:row>
      <xdr:rowOff>160020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B8A7D30-E402-4E90-A180-633E9BB381FF}"/>
            </a:ext>
          </a:extLst>
        </xdr:cNvPr>
        <xdr:cNvSpPr/>
      </xdr:nvSpPr>
      <xdr:spPr>
        <a:xfrm flipH="1" flipV="1">
          <a:off x="0" y="0"/>
          <a:ext cx="1264919" cy="6271260"/>
        </a:xfrm>
        <a:prstGeom prst="rect">
          <a:avLst/>
        </a:prstGeom>
        <a:solidFill>
          <a:schemeClr val="tx1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3</xdr:row>
      <xdr:rowOff>129540</xdr:rowOff>
    </xdr:from>
    <xdr:to>
      <xdr:col>2</xdr:col>
      <xdr:colOff>464820</xdr:colOff>
      <xdr:row>5</xdr:row>
      <xdr:rowOff>68580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1B1E5F-B53B-4136-86E1-2B85AE9E0C29}"/>
            </a:ext>
          </a:extLst>
        </xdr:cNvPr>
        <xdr:cNvSpPr/>
      </xdr:nvSpPr>
      <xdr:spPr>
        <a:xfrm>
          <a:off x="0" y="67818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January </a:t>
          </a:r>
        </a:p>
      </xdr:txBody>
    </xdr:sp>
    <xdr:clientData/>
  </xdr:twoCellAnchor>
  <xdr:twoCellAnchor>
    <xdr:from>
      <xdr:col>0</xdr:col>
      <xdr:colOff>0</xdr:colOff>
      <xdr:row>5</xdr:row>
      <xdr:rowOff>144780</xdr:rowOff>
    </xdr:from>
    <xdr:to>
      <xdr:col>2</xdr:col>
      <xdr:colOff>464820</xdr:colOff>
      <xdr:row>7</xdr:row>
      <xdr:rowOff>76200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4AFF8C8-BDE7-499F-AE88-F458AA339484}"/>
            </a:ext>
          </a:extLst>
        </xdr:cNvPr>
        <xdr:cNvSpPr/>
      </xdr:nvSpPr>
      <xdr:spPr>
        <a:xfrm>
          <a:off x="0" y="1059180"/>
          <a:ext cx="1684020" cy="31242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bg1"/>
              </a:solidFill>
            </a:rPr>
            <a:t>February</a:t>
          </a:r>
          <a:r>
            <a:rPr lang="en-US" sz="1200"/>
            <a:t> </a:t>
          </a:r>
        </a:p>
      </xdr:txBody>
    </xdr:sp>
    <xdr:clientData/>
  </xdr:twoCellAnchor>
  <xdr:twoCellAnchor>
    <xdr:from>
      <xdr:col>0</xdr:col>
      <xdr:colOff>0</xdr:colOff>
      <xdr:row>7</xdr:row>
      <xdr:rowOff>137160</xdr:rowOff>
    </xdr:from>
    <xdr:to>
      <xdr:col>2</xdr:col>
      <xdr:colOff>464820</xdr:colOff>
      <xdr:row>9</xdr:row>
      <xdr:rowOff>76200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F2C4A74-3183-4026-A2F5-EC6F5ACF313D}"/>
            </a:ext>
          </a:extLst>
        </xdr:cNvPr>
        <xdr:cNvSpPr/>
      </xdr:nvSpPr>
      <xdr:spPr>
        <a:xfrm>
          <a:off x="0" y="1432560"/>
          <a:ext cx="1684020" cy="35814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March</a:t>
          </a:r>
        </a:p>
      </xdr:txBody>
    </xdr:sp>
    <xdr:clientData/>
  </xdr:twoCellAnchor>
  <xdr:twoCellAnchor>
    <xdr:from>
      <xdr:col>0</xdr:col>
      <xdr:colOff>0</xdr:colOff>
      <xdr:row>9</xdr:row>
      <xdr:rowOff>121920</xdr:rowOff>
    </xdr:from>
    <xdr:to>
      <xdr:col>2</xdr:col>
      <xdr:colOff>464820</xdr:colOff>
      <xdr:row>11</xdr:row>
      <xdr:rowOff>60960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DA115C5-223C-4DA4-B56B-F5ED1FB243B7}"/>
            </a:ext>
          </a:extLst>
        </xdr:cNvPr>
        <xdr:cNvSpPr/>
      </xdr:nvSpPr>
      <xdr:spPr>
        <a:xfrm>
          <a:off x="0" y="183642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April </a:t>
          </a:r>
        </a:p>
      </xdr:txBody>
    </xdr:sp>
    <xdr:clientData/>
  </xdr:twoCellAnchor>
  <xdr:twoCellAnchor>
    <xdr:from>
      <xdr:col>0</xdr:col>
      <xdr:colOff>487680</xdr:colOff>
      <xdr:row>11</xdr:row>
      <xdr:rowOff>114300</xdr:rowOff>
    </xdr:from>
    <xdr:to>
      <xdr:col>3</xdr:col>
      <xdr:colOff>342900</xdr:colOff>
      <xdr:row>13</xdr:row>
      <xdr:rowOff>53340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BE1F9F7-F9A0-4705-8A42-E51C5E77D875}"/>
            </a:ext>
          </a:extLst>
        </xdr:cNvPr>
        <xdr:cNvSpPr/>
      </xdr:nvSpPr>
      <xdr:spPr>
        <a:xfrm>
          <a:off x="487680" y="2194560"/>
          <a:ext cx="1684020" cy="3048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tx1"/>
              </a:solidFill>
              <a:latin typeface="+mn-lt"/>
              <a:ea typeface="+mn-ea"/>
              <a:cs typeface="+mn-cs"/>
            </a:rPr>
            <a:t>May </a:t>
          </a:r>
        </a:p>
      </xdr:txBody>
    </xdr:sp>
    <xdr:clientData/>
  </xdr:twoCellAnchor>
  <xdr:twoCellAnchor>
    <xdr:from>
      <xdr:col>0</xdr:col>
      <xdr:colOff>0</xdr:colOff>
      <xdr:row>23</xdr:row>
      <xdr:rowOff>167640</xdr:rowOff>
    </xdr:from>
    <xdr:to>
      <xdr:col>2</xdr:col>
      <xdr:colOff>464820</xdr:colOff>
      <xdr:row>25</xdr:row>
      <xdr:rowOff>106680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E7B498F-F456-4C1D-8898-41C567A521D7}"/>
            </a:ext>
          </a:extLst>
        </xdr:cNvPr>
        <xdr:cNvSpPr/>
      </xdr:nvSpPr>
      <xdr:spPr>
        <a:xfrm>
          <a:off x="0" y="444246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November </a:t>
          </a:r>
        </a:p>
      </xdr:txBody>
    </xdr:sp>
    <xdr:clientData/>
  </xdr:twoCellAnchor>
  <xdr:twoCellAnchor>
    <xdr:from>
      <xdr:col>0</xdr:col>
      <xdr:colOff>0</xdr:colOff>
      <xdr:row>25</xdr:row>
      <xdr:rowOff>175260</xdr:rowOff>
    </xdr:from>
    <xdr:to>
      <xdr:col>2</xdr:col>
      <xdr:colOff>464820</xdr:colOff>
      <xdr:row>27</xdr:row>
      <xdr:rowOff>114300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F226AA8-5C01-4385-A71F-080D0B1E2100}"/>
            </a:ext>
          </a:extLst>
        </xdr:cNvPr>
        <xdr:cNvSpPr/>
      </xdr:nvSpPr>
      <xdr:spPr>
        <a:xfrm>
          <a:off x="0" y="481584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December </a:t>
          </a:r>
        </a:p>
      </xdr:txBody>
    </xdr:sp>
    <xdr:clientData/>
  </xdr:twoCellAnchor>
  <xdr:twoCellAnchor>
    <xdr:from>
      <xdr:col>0</xdr:col>
      <xdr:colOff>0</xdr:colOff>
      <xdr:row>13</xdr:row>
      <xdr:rowOff>121920</xdr:rowOff>
    </xdr:from>
    <xdr:to>
      <xdr:col>2</xdr:col>
      <xdr:colOff>464820</xdr:colOff>
      <xdr:row>15</xdr:row>
      <xdr:rowOff>60960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9158118-F77B-45DC-8CC7-DDF0A2681E5C}"/>
            </a:ext>
          </a:extLst>
        </xdr:cNvPr>
        <xdr:cNvSpPr/>
      </xdr:nvSpPr>
      <xdr:spPr>
        <a:xfrm>
          <a:off x="0" y="256794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bg1"/>
              </a:solidFill>
            </a:rPr>
            <a:t>June</a:t>
          </a:r>
          <a:endParaRPr lang="en-US" sz="1200"/>
        </a:p>
      </xdr:txBody>
    </xdr:sp>
    <xdr:clientData/>
  </xdr:twoCellAnchor>
  <xdr:twoCellAnchor>
    <xdr:from>
      <xdr:col>0</xdr:col>
      <xdr:colOff>0</xdr:colOff>
      <xdr:row>15</xdr:row>
      <xdr:rowOff>129540</xdr:rowOff>
    </xdr:from>
    <xdr:to>
      <xdr:col>2</xdr:col>
      <xdr:colOff>464820</xdr:colOff>
      <xdr:row>17</xdr:row>
      <xdr:rowOff>68580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D013B27-6E57-418A-9717-3E6CD2CF0C29}"/>
            </a:ext>
          </a:extLst>
        </xdr:cNvPr>
        <xdr:cNvSpPr/>
      </xdr:nvSpPr>
      <xdr:spPr>
        <a:xfrm>
          <a:off x="0" y="294132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July</a:t>
          </a:r>
        </a:p>
      </xdr:txBody>
    </xdr:sp>
    <xdr:clientData/>
  </xdr:twoCellAnchor>
  <xdr:twoCellAnchor>
    <xdr:from>
      <xdr:col>0</xdr:col>
      <xdr:colOff>0</xdr:colOff>
      <xdr:row>17</xdr:row>
      <xdr:rowOff>137160</xdr:rowOff>
    </xdr:from>
    <xdr:to>
      <xdr:col>2</xdr:col>
      <xdr:colOff>464820</xdr:colOff>
      <xdr:row>19</xdr:row>
      <xdr:rowOff>76200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891B4AA-5A11-40CA-9293-326E3CA2D586}"/>
            </a:ext>
          </a:extLst>
        </xdr:cNvPr>
        <xdr:cNvSpPr/>
      </xdr:nvSpPr>
      <xdr:spPr>
        <a:xfrm>
          <a:off x="0" y="331470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August</a:t>
          </a:r>
        </a:p>
      </xdr:txBody>
    </xdr:sp>
    <xdr:clientData/>
  </xdr:twoCellAnchor>
  <xdr:twoCellAnchor>
    <xdr:from>
      <xdr:col>0</xdr:col>
      <xdr:colOff>0</xdr:colOff>
      <xdr:row>19</xdr:row>
      <xdr:rowOff>144780</xdr:rowOff>
    </xdr:from>
    <xdr:to>
      <xdr:col>2</xdr:col>
      <xdr:colOff>464820</xdr:colOff>
      <xdr:row>21</xdr:row>
      <xdr:rowOff>83820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D5422A4C-6873-44C7-9884-3995D3546CAE}"/>
            </a:ext>
          </a:extLst>
        </xdr:cNvPr>
        <xdr:cNvSpPr/>
      </xdr:nvSpPr>
      <xdr:spPr>
        <a:xfrm>
          <a:off x="0" y="368808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September</a:t>
          </a:r>
        </a:p>
      </xdr:txBody>
    </xdr:sp>
    <xdr:clientData/>
  </xdr:twoCellAnchor>
  <xdr:twoCellAnchor>
    <xdr:from>
      <xdr:col>0</xdr:col>
      <xdr:colOff>0</xdr:colOff>
      <xdr:row>21</xdr:row>
      <xdr:rowOff>152400</xdr:rowOff>
    </xdr:from>
    <xdr:to>
      <xdr:col>2</xdr:col>
      <xdr:colOff>464820</xdr:colOff>
      <xdr:row>23</xdr:row>
      <xdr:rowOff>91440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449B728C-09A3-4C2C-8AC7-1FCBEE0A5D0E}"/>
            </a:ext>
          </a:extLst>
        </xdr:cNvPr>
        <xdr:cNvSpPr/>
      </xdr:nvSpPr>
      <xdr:spPr>
        <a:xfrm>
          <a:off x="0" y="406146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October</a:t>
          </a:r>
        </a:p>
      </xdr:txBody>
    </xdr:sp>
    <xdr:clientData/>
  </xdr:twoCellAnchor>
  <xdr:twoCellAnchor>
    <xdr:from>
      <xdr:col>42</xdr:col>
      <xdr:colOff>11723</xdr:colOff>
      <xdr:row>0</xdr:row>
      <xdr:rowOff>0</xdr:rowOff>
    </xdr:from>
    <xdr:to>
      <xdr:col>56</xdr:col>
      <xdr:colOff>730250</xdr:colOff>
      <xdr:row>2</xdr:row>
      <xdr:rowOff>175847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65764E98-E855-486F-8003-E7894DF004F4}"/>
            </a:ext>
          </a:extLst>
        </xdr:cNvPr>
        <xdr:cNvSpPr/>
      </xdr:nvSpPr>
      <xdr:spPr>
        <a:xfrm>
          <a:off x="16470923" y="0"/>
          <a:ext cx="11630367" cy="541607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  <a:prstDash val="solid"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3600" b="1">
              <a:solidFill>
                <a:schemeClr val="tx1"/>
              </a:solidFill>
              <a:latin typeface="Aparajita" panose="02020603050405020304" pitchFamily="18" charset="0"/>
              <a:cs typeface="Aparajita" panose="02020603050405020304" pitchFamily="18" charset="0"/>
            </a:rPr>
            <a:t>Monthly  Report</a:t>
          </a:r>
        </a:p>
      </xdr:txBody>
    </xdr:sp>
    <xdr:clientData/>
  </xdr:twoCellAnchor>
  <xdr:twoCellAnchor>
    <xdr:from>
      <xdr:col>6</xdr:col>
      <xdr:colOff>396876</xdr:colOff>
      <xdr:row>0</xdr:row>
      <xdr:rowOff>126999</xdr:rowOff>
    </xdr:from>
    <xdr:to>
      <xdr:col>7</xdr:col>
      <xdr:colOff>474042</xdr:colOff>
      <xdr:row>2</xdr:row>
      <xdr:rowOff>39687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D9256DD9-A5EB-42FB-BC2B-29249FCBCCFD}"/>
            </a:ext>
          </a:extLst>
        </xdr:cNvPr>
        <xdr:cNvSpPr/>
      </xdr:nvSpPr>
      <xdr:spPr>
        <a:xfrm>
          <a:off x="3879216" y="126999"/>
          <a:ext cx="1060146" cy="278448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To</a:t>
          </a:r>
        </a:p>
      </xdr:txBody>
    </xdr:sp>
    <xdr:clientData/>
  </xdr:twoCellAnchor>
  <xdr:twoCellAnchor>
    <xdr:from>
      <xdr:col>7</xdr:col>
      <xdr:colOff>461964</xdr:colOff>
      <xdr:row>0</xdr:row>
      <xdr:rowOff>128585</xdr:rowOff>
    </xdr:from>
    <xdr:to>
      <xdr:col>8</xdr:col>
      <xdr:colOff>500064</xdr:colOff>
      <xdr:row>2</xdr:row>
      <xdr:rowOff>39137</xdr:rowOff>
    </xdr:to>
    <xdr:sp macro="" textlink="$J$5">
      <xdr:nvSpPr>
        <xdr:cNvPr id="18" name="Rectangle 17">
          <a:extLst>
            <a:ext uri="{FF2B5EF4-FFF2-40B4-BE49-F238E27FC236}">
              <a16:creationId xmlns:a16="http://schemas.microsoft.com/office/drawing/2014/main" id="{5DBFA3DB-57D9-4383-B958-1DD833FDBCA9}"/>
            </a:ext>
          </a:extLst>
        </xdr:cNvPr>
        <xdr:cNvSpPr/>
      </xdr:nvSpPr>
      <xdr:spPr>
        <a:xfrm>
          <a:off x="4927284" y="128585"/>
          <a:ext cx="1325880" cy="27631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EDA3192-0DC9-41BE-8537-F40AE859E52F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31-May-2025</a:t>
          </a:fld>
          <a:endParaRPr lang="en-US" sz="1200" b="1"/>
        </a:p>
      </xdr:txBody>
    </xdr:sp>
    <xdr:clientData/>
  </xdr:twoCellAnchor>
  <xdr:twoCellAnchor>
    <xdr:from>
      <xdr:col>2</xdr:col>
      <xdr:colOff>39688</xdr:colOff>
      <xdr:row>0</xdr:row>
      <xdr:rowOff>142875</xdr:rowOff>
    </xdr:from>
    <xdr:to>
      <xdr:col>3</xdr:col>
      <xdr:colOff>481979</xdr:colOff>
      <xdr:row>2</xdr:row>
      <xdr:rowOff>55563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97607016-FFAB-475B-B699-A86CCA2C23BA}"/>
            </a:ext>
          </a:extLst>
        </xdr:cNvPr>
        <xdr:cNvSpPr/>
      </xdr:nvSpPr>
      <xdr:spPr>
        <a:xfrm>
          <a:off x="1258888" y="142875"/>
          <a:ext cx="1051891" cy="278448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From</a:t>
          </a:r>
        </a:p>
      </xdr:txBody>
    </xdr:sp>
    <xdr:clientData/>
  </xdr:twoCellAnchor>
  <xdr:twoCellAnchor>
    <xdr:from>
      <xdr:col>3</xdr:col>
      <xdr:colOff>493713</xdr:colOff>
      <xdr:row>0</xdr:row>
      <xdr:rowOff>144461</xdr:rowOff>
    </xdr:from>
    <xdr:to>
      <xdr:col>6</xdr:col>
      <xdr:colOff>150813</xdr:colOff>
      <xdr:row>2</xdr:row>
      <xdr:rowOff>55013</xdr:rowOff>
    </xdr:to>
    <xdr:sp macro="" textlink="$G$5">
      <xdr:nvSpPr>
        <xdr:cNvPr id="20" name="Rectangle 19">
          <a:extLst>
            <a:ext uri="{FF2B5EF4-FFF2-40B4-BE49-F238E27FC236}">
              <a16:creationId xmlns:a16="http://schemas.microsoft.com/office/drawing/2014/main" id="{F6936029-771E-4754-BF4C-8AE82E2169F3}"/>
            </a:ext>
          </a:extLst>
        </xdr:cNvPr>
        <xdr:cNvSpPr/>
      </xdr:nvSpPr>
      <xdr:spPr>
        <a:xfrm>
          <a:off x="2322513" y="144461"/>
          <a:ext cx="1310640" cy="27631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7D7D287-93FA-4632-B81E-C1A385C8653B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01-May-2025</a:t>
          </a:fld>
          <a:endParaRPr lang="en-US" sz="1200" b="1"/>
        </a:p>
      </xdr:txBody>
    </xdr:sp>
    <xdr:clientData/>
  </xdr:twoCellAnchor>
  <xdr:twoCellAnchor>
    <xdr:from>
      <xdr:col>10</xdr:col>
      <xdr:colOff>129540</xdr:colOff>
      <xdr:row>0</xdr:row>
      <xdr:rowOff>99060</xdr:rowOff>
    </xdr:from>
    <xdr:to>
      <xdr:col>24</xdr:col>
      <xdr:colOff>53340</xdr:colOff>
      <xdr:row>2</xdr:row>
      <xdr:rowOff>45720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E237443B-4EF8-406D-BEA9-7D3A6D997665}"/>
            </a:ext>
          </a:extLst>
        </xdr:cNvPr>
        <xdr:cNvSpPr/>
      </xdr:nvSpPr>
      <xdr:spPr>
        <a:xfrm>
          <a:off x="6987540" y="99060"/>
          <a:ext cx="3855720" cy="31242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152400</xdr:colOff>
      <xdr:row>0</xdr:row>
      <xdr:rowOff>91440</xdr:rowOff>
    </xdr:from>
    <xdr:to>
      <xdr:col>22</xdr:col>
      <xdr:colOff>91440</xdr:colOff>
      <xdr:row>2</xdr:row>
      <xdr:rowOff>76200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0774589-8281-410E-BDC8-100B0366D0F4}"/>
            </a:ext>
          </a:extLst>
        </xdr:cNvPr>
        <xdr:cNvSpPr/>
      </xdr:nvSpPr>
      <xdr:spPr>
        <a:xfrm>
          <a:off x="7284720" y="91440"/>
          <a:ext cx="2994660" cy="3505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chemeClr val="tx1"/>
              </a:solidFill>
            </a:rPr>
            <a:t>Dashboard</a:t>
          </a:r>
          <a:r>
            <a:rPr lang="en-US" sz="1400" b="1" baseline="0">
              <a:solidFill>
                <a:schemeClr val="tx1"/>
              </a:solidFill>
            </a:rPr>
            <a:t> For The Month Of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10</xdr:col>
      <xdr:colOff>121920</xdr:colOff>
      <xdr:row>0</xdr:row>
      <xdr:rowOff>106680</xdr:rowOff>
    </xdr:from>
    <xdr:to>
      <xdr:col>11</xdr:col>
      <xdr:colOff>176231</xdr:colOff>
      <xdr:row>2</xdr:row>
      <xdr:rowOff>36594</xdr:rowOff>
    </xdr:to>
    <xdr:pic>
      <xdr:nvPicPr>
        <xdr:cNvPr id="23" name="Graphic 22" descr="Research with solid fill">
          <a:extLst>
            <a:ext uri="{FF2B5EF4-FFF2-40B4-BE49-F238E27FC236}">
              <a16:creationId xmlns:a16="http://schemas.microsoft.com/office/drawing/2014/main" id="{6A6EACED-0B8A-4EAB-8775-951E5909D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6979920" y="106680"/>
          <a:ext cx="328631" cy="295674"/>
        </a:xfrm>
        <a:prstGeom prst="rect">
          <a:avLst/>
        </a:prstGeom>
      </xdr:spPr>
    </xdr:pic>
    <xdr:clientData/>
  </xdr:twoCellAnchor>
  <xdr:twoCellAnchor>
    <xdr:from>
      <xdr:col>19</xdr:col>
      <xdr:colOff>167640</xdr:colOff>
      <xdr:row>0</xdr:row>
      <xdr:rowOff>60960</xdr:rowOff>
    </xdr:from>
    <xdr:to>
      <xdr:col>23</xdr:col>
      <xdr:colOff>228600</xdr:colOff>
      <xdr:row>2</xdr:row>
      <xdr:rowOff>45720</xdr:rowOff>
    </xdr:to>
    <xdr:sp macro="" textlink="$E$5">
      <xdr:nvSpPr>
        <xdr:cNvPr id="24" name="Rectangle: Rounded Corners 23">
          <a:extLst>
            <a:ext uri="{FF2B5EF4-FFF2-40B4-BE49-F238E27FC236}">
              <a16:creationId xmlns:a16="http://schemas.microsoft.com/office/drawing/2014/main" id="{34D1D125-915A-44CA-BD5E-A842C1BE8B4F}"/>
            </a:ext>
          </a:extLst>
        </xdr:cNvPr>
        <xdr:cNvSpPr/>
      </xdr:nvSpPr>
      <xdr:spPr>
        <a:xfrm>
          <a:off x="9517380" y="60960"/>
          <a:ext cx="1173480" cy="3505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B9C85A59-FB1C-438C-92E4-56515B55565E}" type="TxLink">
            <a:rPr lang="en-US" sz="1600" b="1" i="0" u="none" strike="noStrike">
              <a:solidFill>
                <a:schemeClr val="accent2"/>
              </a:solidFill>
              <a:latin typeface="Calibri"/>
              <a:ea typeface="Calibri"/>
              <a:cs typeface="Calibri"/>
            </a:rPr>
            <a:pPr algn="l"/>
            <a:t>May</a:t>
          </a:fld>
          <a:endParaRPr lang="en-US" sz="1600" b="1">
            <a:solidFill>
              <a:schemeClr val="accent2"/>
            </a:solidFill>
          </a:endParaRPr>
        </a:p>
      </xdr:txBody>
    </xdr:sp>
    <xdr:clientData/>
  </xdr:twoCellAnchor>
  <xdr:twoCellAnchor>
    <xdr:from>
      <xdr:col>27</xdr:col>
      <xdr:colOff>60960</xdr:colOff>
      <xdr:row>0</xdr:row>
      <xdr:rowOff>91440</xdr:rowOff>
    </xdr:from>
    <xdr:to>
      <xdr:col>29</xdr:col>
      <xdr:colOff>53340</xdr:colOff>
      <xdr:row>2</xdr:row>
      <xdr:rowOff>7620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E25AF94E-5977-4647-9E67-1EB46C70DBB5}"/>
            </a:ext>
          </a:extLst>
        </xdr:cNvPr>
        <xdr:cNvSpPr/>
      </xdr:nvSpPr>
      <xdr:spPr>
        <a:xfrm>
          <a:off x="11605260" y="914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🟢</a:t>
          </a:r>
        </a:p>
      </xdr:txBody>
    </xdr:sp>
    <xdr:clientData/>
  </xdr:twoCellAnchor>
  <xdr:twoCellAnchor>
    <xdr:from>
      <xdr:col>27</xdr:col>
      <xdr:colOff>23497</xdr:colOff>
      <xdr:row>0</xdr:row>
      <xdr:rowOff>67625</xdr:rowOff>
    </xdr:from>
    <xdr:to>
      <xdr:col>31</xdr:col>
      <xdr:colOff>145417</xdr:colOff>
      <xdr:row>1</xdr:row>
      <xdr:rowOff>161057</xdr:rowOff>
    </xdr:to>
    <xdr:sp macro="" textlink="$J$5">
      <xdr:nvSpPr>
        <xdr:cNvPr id="26" name="Rectangle 25">
          <a:extLst>
            <a:ext uri="{FF2B5EF4-FFF2-40B4-BE49-F238E27FC236}">
              <a16:creationId xmlns:a16="http://schemas.microsoft.com/office/drawing/2014/main" id="{3436444E-58F6-4D7E-8CEB-2DEBAE18894F}"/>
            </a:ext>
          </a:extLst>
        </xdr:cNvPr>
        <xdr:cNvSpPr/>
      </xdr:nvSpPr>
      <xdr:spPr>
        <a:xfrm>
          <a:off x="11567797" y="6762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Present</a:t>
          </a:r>
        </a:p>
      </xdr:txBody>
    </xdr:sp>
    <xdr:clientData/>
  </xdr:twoCellAnchor>
  <xdr:twoCellAnchor>
    <xdr:from>
      <xdr:col>27</xdr:col>
      <xdr:colOff>213360</xdr:colOff>
      <xdr:row>1</xdr:row>
      <xdr:rowOff>60960</xdr:rowOff>
    </xdr:from>
    <xdr:to>
      <xdr:col>29</xdr:col>
      <xdr:colOff>205740</xdr:colOff>
      <xdr:row>2</xdr:row>
      <xdr:rowOff>160020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254B3D64-5EEB-4FBD-B8C5-08BABCDA048E}"/>
            </a:ext>
          </a:extLst>
        </xdr:cNvPr>
        <xdr:cNvSpPr/>
      </xdr:nvSpPr>
      <xdr:spPr>
        <a:xfrm>
          <a:off x="11757660" y="2438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900"/>
        </a:p>
      </xdr:txBody>
    </xdr:sp>
    <xdr:clientData/>
  </xdr:twoCellAnchor>
  <xdr:twoCellAnchor>
    <xdr:from>
      <xdr:col>34</xdr:col>
      <xdr:colOff>7620</xdr:colOff>
      <xdr:row>0</xdr:row>
      <xdr:rowOff>106680</xdr:rowOff>
    </xdr:from>
    <xdr:to>
      <xdr:col>36</xdr:col>
      <xdr:colOff>0</xdr:colOff>
      <xdr:row>2</xdr:row>
      <xdr:rowOff>22860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DB44C424-D7E2-40B3-9BDE-C500F850D6F8}"/>
            </a:ext>
          </a:extLst>
        </xdr:cNvPr>
        <xdr:cNvSpPr/>
      </xdr:nvSpPr>
      <xdr:spPr>
        <a:xfrm>
          <a:off x="13540740" y="10668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>
              <a:solidFill>
                <a:schemeClr val="accent2"/>
              </a:solidFill>
            </a:rPr>
            <a:t>.🟡</a:t>
          </a:r>
        </a:p>
      </xdr:txBody>
    </xdr:sp>
    <xdr:clientData/>
  </xdr:twoCellAnchor>
  <xdr:twoCellAnchor>
    <xdr:from>
      <xdr:col>33</xdr:col>
      <xdr:colOff>213997</xdr:colOff>
      <xdr:row>0</xdr:row>
      <xdr:rowOff>82865</xdr:rowOff>
    </xdr:from>
    <xdr:to>
      <xdr:col>38</xdr:col>
      <xdr:colOff>92077</xdr:colOff>
      <xdr:row>1</xdr:row>
      <xdr:rowOff>176297</xdr:rowOff>
    </xdr:to>
    <xdr:sp macro="" textlink="$J$5">
      <xdr:nvSpPr>
        <xdr:cNvPr id="29" name="Rectangle 28">
          <a:extLst>
            <a:ext uri="{FF2B5EF4-FFF2-40B4-BE49-F238E27FC236}">
              <a16:creationId xmlns:a16="http://schemas.microsoft.com/office/drawing/2014/main" id="{EF465D16-83A4-46AD-ABAE-207C05352587}"/>
            </a:ext>
          </a:extLst>
        </xdr:cNvPr>
        <xdr:cNvSpPr/>
      </xdr:nvSpPr>
      <xdr:spPr>
        <a:xfrm>
          <a:off x="13503277" y="8286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Leave</a:t>
          </a:r>
        </a:p>
      </xdr:txBody>
    </xdr:sp>
    <xdr:clientData/>
  </xdr:twoCellAnchor>
  <xdr:twoCellAnchor>
    <xdr:from>
      <xdr:col>30</xdr:col>
      <xdr:colOff>167640</xdr:colOff>
      <xdr:row>0</xdr:row>
      <xdr:rowOff>91440</xdr:rowOff>
    </xdr:from>
    <xdr:to>
      <xdr:col>32</xdr:col>
      <xdr:colOff>152400</xdr:colOff>
      <xdr:row>2</xdr:row>
      <xdr:rowOff>7620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BBEF7A98-C7DB-49D9-9390-A19DABDC3892}"/>
            </a:ext>
          </a:extLst>
        </xdr:cNvPr>
        <xdr:cNvSpPr/>
      </xdr:nvSpPr>
      <xdr:spPr>
        <a:xfrm>
          <a:off x="12580620" y="914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🔴</a:t>
          </a:r>
        </a:p>
      </xdr:txBody>
    </xdr:sp>
    <xdr:clientData/>
  </xdr:twoCellAnchor>
  <xdr:twoCellAnchor>
    <xdr:from>
      <xdr:col>30</xdr:col>
      <xdr:colOff>99697</xdr:colOff>
      <xdr:row>0</xdr:row>
      <xdr:rowOff>82865</xdr:rowOff>
    </xdr:from>
    <xdr:to>
      <xdr:col>35</xdr:col>
      <xdr:colOff>31117</xdr:colOff>
      <xdr:row>1</xdr:row>
      <xdr:rowOff>176297</xdr:rowOff>
    </xdr:to>
    <xdr:sp macro="" textlink="$J$5">
      <xdr:nvSpPr>
        <xdr:cNvPr id="31" name="Rectangle 30">
          <a:extLst>
            <a:ext uri="{FF2B5EF4-FFF2-40B4-BE49-F238E27FC236}">
              <a16:creationId xmlns:a16="http://schemas.microsoft.com/office/drawing/2014/main" id="{0B035A3E-EA91-4C34-AAAD-D0DCE1ED2B34}"/>
            </a:ext>
          </a:extLst>
        </xdr:cNvPr>
        <xdr:cNvSpPr/>
      </xdr:nvSpPr>
      <xdr:spPr>
        <a:xfrm>
          <a:off x="12512677" y="8286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Absent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0</xdr:rowOff>
    </xdr:from>
    <xdr:to>
      <xdr:col>41</xdr:col>
      <xdr:colOff>45720</xdr:colOff>
      <xdr:row>2</xdr:row>
      <xdr:rowOff>162365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FA0BBFF-91C9-40A1-B9C4-72D411F553E5}"/>
            </a:ext>
          </a:extLst>
        </xdr:cNvPr>
        <xdr:cNvSpPr/>
      </xdr:nvSpPr>
      <xdr:spPr>
        <a:xfrm>
          <a:off x="1257300" y="0"/>
          <a:ext cx="14638020" cy="52812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45719</xdr:colOff>
      <xdr:row>33</xdr:row>
      <xdr:rowOff>160020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E722701-5D87-4B81-9FE1-02A8E2A14D6C}"/>
            </a:ext>
          </a:extLst>
        </xdr:cNvPr>
        <xdr:cNvSpPr/>
      </xdr:nvSpPr>
      <xdr:spPr>
        <a:xfrm flipH="1" flipV="1">
          <a:off x="0" y="0"/>
          <a:ext cx="1264919" cy="6271260"/>
        </a:xfrm>
        <a:prstGeom prst="rect">
          <a:avLst/>
        </a:prstGeom>
        <a:solidFill>
          <a:schemeClr val="tx1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3</xdr:row>
      <xdr:rowOff>152400</xdr:rowOff>
    </xdr:from>
    <xdr:to>
      <xdr:col>2</xdr:col>
      <xdr:colOff>464820</xdr:colOff>
      <xdr:row>5</xdr:row>
      <xdr:rowOff>91440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D580FE-A618-437B-A8DC-B5E464DF7219}"/>
            </a:ext>
          </a:extLst>
        </xdr:cNvPr>
        <xdr:cNvSpPr/>
      </xdr:nvSpPr>
      <xdr:spPr>
        <a:xfrm>
          <a:off x="0" y="70104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January </a:t>
          </a:r>
        </a:p>
      </xdr:txBody>
    </xdr:sp>
    <xdr:clientData/>
  </xdr:twoCellAnchor>
  <xdr:twoCellAnchor>
    <xdr:from>
      <xdr:col>0</xdr:col>
      <xdr:colOff>0</xdr:colOff>
      <xdr:row>5</xdr:row>
      <xdr:rowOff>144780</xdr:rowOff>
    </xdr:from>
    <xdr:to>
      <xdr:col>2</xdr:col>
      <xdr:colOff>464820</xdr:colOff>
      <xdr:row>7</xdr:row>
      <xdr:rowOff>76200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70276CC-6ED8-4E39-9377-05B93F0ED106}"/>
            </a:ext>
          </a:extLst>
        </xdr:cNvPr>
        <xdr:cNvSpPr/>
      </xdr:nvSpPr>
      <xdr:spPr>
        <a:xfrm>
          <a:off x="0" y="1059180"/>
          <a:ext cx="1684020" cy="31242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bg1"/>
              </a:solidFill>
            </a:rPr>
            <a:t>February</a:t>
          </a:r>
          <a:r>
            <a:rPr lang="en-US" sz="1200"/>
            <a:t> </a:t>
          </a:r>
        </a:p>
      </xdr:txBody>
    </xdr:sp>
    <xdr:clientData/>
  </xdr:twoCellAnchor>
  <xdr:twoCellAnchor>
    <xdr:from>
      <xdr:col>0</xdr:col>
      <xdr:colOff>0</xdr:colOff>
      <xdr:row>7</xdr:row>
      <xdr:rowOff>137160</xdr:rowOff>
    </xdr:from>
    <xdr:to>
      <xdr:col>2</xdr:col>
      <xdr:colOff>464820</xdr:colOff>
      <xdr:row>9</xdr:row>
      <xdr:rowOff>76200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1B7A2F1-EEDE-4AF8-B71E-69B3819DCE00}"/>
            </a:ext>
          </a:extLst>
        </xdr:cNvPr>
        <xdr:cNvSpPr/>
      </xdr:nvSpPr>
      <xdr:spPr>
        <a:xfrm>
          <a:off x="0" y="1432560"/>
          <a:ext cx="1684020" cy="35814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March</a:t>
          </a:r>
        </a:p>
      </xdr:txBody>
    </xdr:sp>
    <xdr:clientData/>
  </xdr:twoCellAnchor>
  <xdr:twoCellAnchor>
    <xdr:from>
      <xdr:col>0</xdr:col>
      <xdr:colOff>0</xdr:colOff>
      <xdr:row>9</xdr:row>
      <xdr:rowOff>121920</xdr:rowOff>
    </xdr:from>
    <xdr:to>
      <xdr:col>2</xdr:col>
      <xdr:colOff>464820</xdr:colOff>
      <xdr:row>11</xdr:row>
      <xdr:rowOff>60960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10C6572-66CA-4465-8D9C-F8CEA0ECEB23}"/>
            </a:ext>
          </a:extLst>
        </xdr:cNvPr>
        <xdr:cNvSpPr/>
      </xdr:nvSpPr>
      <xdr:spPr>
        <a:xfrm>
          <a:off x="0" y="183642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April </a:t>
          </a:r>
        </a:p>
      </xdr:txBody>
    </xdr:sp>
    <xdr:clientData/>
  </xdr:twoCellAnchor>
  <xdr:twoCellAnchor>
    <xdr:from>
      <xdr:col>0</xdr:col>
      <xdr:colOff>0</xdr:colOff>
      <xdr:row>11</xdr:row>
      <xdr:rowOff>121920</xdr:rowOff>
    </xdr:from>
    <xdr:to>
      <xdr:col>2</xdr:col>
      <xdr:colOff>464820</xdr:colOff>
      <xdr:row>13</xdr:row>
      <xdr:rowOff>60960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B1B3FDA-B229-4326-81C6-FA58AA2AF2EA}"/>
            </a:ext>
          </a:extLst>
        </xdr:cNvPr>
        <xdr:cNvSpPr/>
      </xdr:nvSpPr>
      <xdr:spPr>
        <a:xfrm>
          <a:off x="0" y="220218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May </a:t>
          </a:r>
        </a:p>
      </xdr:txBody>
    </xdr:sp>
    <xdr:clientData/>
  </xdr:twoCellAnchor>
  <xdr:twoCellAnchor>
    <xdr:from>
      <xdr:col>0</xdr:col>
      <xdr:colOff>0</xdr:colOff>
      <xdr:row>23</xdr:row>
      <xdr:rowOff>167640</xdr:rowOff>
    </xdr:from>
    <xdr:to>
      <xdr:col>2</xdr:col>
      <xdr:colOff>464820</xdr:colOff>
      <xdr:row>25</xdr:row>
      <xdr:rowOff>106680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96ADC17-6642-4508-ADF2-DE69CD88F698}"/>
            </a:ext>
          </a:extLst>
        </xdr:cNvPr>
        <xdr:cNvSpPr/>
      </xdr:nvSpPr>
      <xdr:spPr>
        <a:xfrm>
          <a:off x="0" y="444246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November </a:t>
          </a:r>
        </a:p>
      </xdr:txBody>
    </xdr:sp>
    <xdr:clientData/>
  </xdr:twoCellAnchor>
  <xdr:twoCellAnchor>
    <xdr:from>
      <xdr:col>0</xdr:col>
      <xdr:colOff>0</xdr:colOff>
      <xdr:row>25</xdr:row>
      <xdr:rowOff>175260</xdr:rowOff>
    </xdr:from>
    <xdr:to>
      <xdr:col>2</xdr:col>
      <xdr:colOff>464820</xdr:colOff>
      <xdr:row>27</xdr:row>
      <xdr:rowOff>114300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7E049E7-A6C9-47F7-A0D8-AB99E03E5C59}"/>
            </a:ext>
          </a:extLst>
        </xdr:cNvPr>
        <xdr:cNvSpPr/>
      </xdr:nvSpPr>
      <xdr:spPr>
        <a:xfrm>
          <a:off x="0" y="481584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December </a:t>
          </a:r>
        </a:p>
      </xdr:txBody>
    </xdr:sp>
    <xdr:clientData/>
  </xdr:twoCellAnchor>
  <xdr:twoCellAnchor>
    <xdr:from>
      <xdr:col>0</xdr:col>
      <xdr:colOff>472440</xdr:colOff>
      <xdr:row>13</xdr:row>
      <xdr:rowOff>114300</xdr:rowOff>
    </xdr:from>
    <xdr:to>
      <xdr:col>3</xdr:col>
      <xdr:colOff>327660</xdr:colOff>
      <xdr:row>15</xdr:row>
      <xdr:rowOff>53340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D53BF65-ECAD-47A0-91FD-9ADE9B961565}"/>
            </a:ext>
          </a:extLst>
        </xdr:cNvPr>
        <xdr:cNvSpPr/>
      </xdr:nvSpPr>
      <xdr:spPr>
        <a:xfrm>
          <a:off x="472440" y="2560320"/>
          <a:ext cx="1684020" cy="3048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tx1"/>
              </a:solidFill>
              <a:latin typeface="+mn-lt"/>
              <a:ea typeface="+mn-ea"/>
              <a:cs typeface="+mn-cs"/>
            </a:rPr>
            <a:t>June</a:t>
          </a:r>
        </a:p>
      </xdr:txBody>
    </xdr:sp>
    <xdr:clientData/>
  </xdr:twoCellAnchor>
  <xdr:twoCellAnchor>
    <xdr:from>
      <xdr:col>0</xdr:col>
      <xdr:colOff>0</xdr:colOff>
      <xdr:row>15</xdr:row>
      <xdr:rowOff>129540</xdr:rowOff>
    </xdr:from>
    <xdr:to>
      <xdr:col>2</xdr:col>
      <xdr:colOff>464820</xdr:colOff>
      <xdr:row>17</xdr:row>
      <xdr:rowOff>68580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2C2C230-B2BF-4E7D-B347-BEE6C523A622}"/>
            </a:ext>
          </a:extLst>
        </xdr:cNvPr>
        <xdr:cNvSpPr/>
      </xdr:nvSpPr>
      <xdr:spPr>
        <a:xfrm>
          <a:off x="0" y="294132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July</a:t>
          </a:r>
        </a:p>
      </xdr:txBody>
    </xdr:sp>
    <xdr:clientData/>
  </xdr:twoCellAnchor>
  <xdr:twoCellAnchor>
    <xdr:from>
      <xdr:col>0</xdr:col>
      <xdr:colOff>0</xdr:colOff>
      <xdr:row>17</xdr:row>
      <xdr:rowOff>137160</xdr:rowOff>
    </xdr:from>
    <xdr:to>
      <xdr:col>2</xdr:col>
      <xdr:colOff>464820</xdr:colOff>
      <xdr:row>19</xdr:row>
      <xdr:rowOff>76200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D47E593-79D1-4591-9A9C-BE84F7FA7639}"/>
            </a:ext>
          </a:extLst>
        </xdr:cNvPr>
        <xdr:cNvSpPr/>
      </xdr:nvSpPr>
      <xdr:spPr>
        <a:xfrm>
          <a:off x="0" y="331470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August</a:t>
          </a:r>
        </a:p>
      </xdr:txBody>
    </xdr:sp>
    <xdr:clientData/>
  </xdr:twoCellAnchor>
  <xdr:twoCellAnchor>
    <xdr:from>
      <xdr:col>0</xdr:col>
      <xdr:colOff>0</xdr:colOff>
      <xdr:row>19</xdr:row>
      <xdr:rowOff>144780</xdr:rowOff>
    </xdr:from>
    <xdr:to>
      <xdr:col>2</xdr:col>
      <xdr:colOff>464820</xdr:colOff>
      <xdr:row>21</xdr:row>
      <xdr:rowOff>83820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BC8A36CC-CF37-4ED6-B5A2-1F567316EAD0}"/>
            </a:ext>
          </a:extLst>
        </xdr:cNvPr>
        <xdr:cNvSpPr/>
      </xdr:nvSpPr>
      <xdr:spPr>
        <a:xfrm>
          <a:off x="0" y="368808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September</a:t>
          </a:r>
        </a:p>
      </xdr:txBody>
    </xdr:sp>
    <xdr:clientData/>
  </xdr:twoCellAnchor>
  <xdr:twoCellAnchor>
    <xdr:from>
      <xdr:col>0</xdr:col>
      <xdr:colOff>0</xdr:colOff>
      <xdr:row>21</xdr:row>
      <xdr:rowOff>152400</xdr:rowOff>
    </xdr:from>
    <xdr:to>
      <xdr:col>2</xdr:col>
      <xdr:colOff>464820</xdr:colOff>
      <xdr:row>23</xdr:row>
      <xdr:rowOff>91440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8EBF72E0-7BF0-4E48-A845-E4C6206A9B71}"/>
            </a:ext>
          </a:extLst>
        </xdr:cNvPr>
        <xdr:cNvSpPr/>
      </xdr:nvSpPr>
      <xdr:spPr>
        <a:xfrm>
          <a:off x="0" y="406146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October</a:t>
          </a:r>
        </a:p>
      </xdr:txBody>
    </xdr:sp>
    <xdr:clientData/>
  </xdr:twoCellAnchor>
  <xdr:twoCellAnchor>
    <xdr:from>
      <xdr:col>42</xdr:col>
      <xdr:colOff>11723</xdr:colOff>
      <xdr:row>0</xdr:row>
      <xdr:rowOff>0</xdr:rowOff>
    </xdr:from>
    <xdr:to>
      <xdr:col>56</xdr:col>
      <xdr:colOff>730250</xdr:colOff>
      <xdr:row>2</xdr:row>
      <xdr:rowOff>175847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E90B5878-4074-4669-814C-8C560E8D3F89}"/>
            </a:ext>
          </a:extLst>
        </xdr:cNvPr>
        <xdr:cNvSpPr/>
      </xdr:nvSpPr>
      <xdr:spPr>
        <a:xfrm>
          <a:off x="16470923" y="0"/>
          <a:ext cx="11630367" cy="541607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  <a:prstDash val="solid"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3600" b="1">
              <a:solidFill>
                <a:schemeClr val="tx1"/>
              </a:solidFill>
              <a:latin typeface="Aparajita" panose="02020603050405020304" pitchFamily="18" charset="0"/>
              <a:cs typeface="Aparajita" panose="02020603050405020304" pitchFamily="18" charset="0"/>
            </a:rPr>
            <a:t>Monthly  Report</a:t>
          </a:r>
        </a:p>
      </xdr:txBody>
    </xdr:sp>
    <xdr:clientData/>
  </xdr:twoCellAnchor>
  <xdr:twoCellAnchor>
    <xdr:from>
      <xdr:col>6</xdr:col>
      <xdr:colOff>396876</xdr:colOff>
      <xdr:row>0</xdr:row>
      <xdr:rowOff>126999</xdr:rowOff>
    </xdr:from>
    <xdr:to>
      <xdr:col>7</xdr:col>
      <xdr:colOff>474042</xdr:colOff>
      <xdr:row>2</xdr:row>
      <xdr:rowOff>39687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98C54CAA-AFAE-4E45-8171-D31AF3AB26D0}"/>
            </a:ext>
          </a:extLst>
        </xdr:cNvPr>
        <xdr:cNvSpPr/>
      </xdr:nvSpPr>
      <xdr:spPr>
        <a:xfrm>
          <a:off x="3879216" y="126999"/>
          <a:ext cx="1060146" cy="278448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To</a:t>
          </a:r>
        </a:p>
      </xdr:txBody>
    </xdr:sp>
    <xdr:clientData/>
  </xdr:twoCellAnchor>
  <xdr:twoCellAnchor>
    <xdr:from>
      <xdr:col>7</xdr:col>
      <xdr:colOff>461964</xdr:colOff>
      <xdr:row>0</xdr:row>
      <xdr:rowOff>128585</xdr:rowOff>
    </xdr:from>
    <xdr:to>
      <xdr:col>8</xdr:col>
      <xdr:colOff>500064</xdr:colOff>
      <xdr:row>2</xdr:row>
      <xdr:rowOff>39137</xdr:rowOff>
    </xdr:to>
    <xdr:sp macro="" textlink="$J$5">
      <xdr:nvSpPr>
        <xdr:cNvPr id="18" name="Rectangle 17">
          <a:extLst>
            <a:ext uri="{FF2B5EF4-FFF2-40B4-BE49-F238E27FC236}">
              <a16:creationId xmlns:a16="http://schemas.microsoft.com/office/drawing/2014/main" id="{42326288-D4DE-422D-9150-7B255A4E1439}"/>
            </a:ext>
          </a:extLst>
        </xdr:cNvPr>
        <xdr:cNvSpPr/>
      </xdr:nvSpPr>
      <xdr:spPr>
        <a:xfrm>
          <a:off x="4927284" y="128585"/>
          <a:ext cx="1325880" cy="27631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EDA3192-0DC9-41BE-8537-F40AE859E52F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30-Jun-2025</a:t>
          </a:fld>
          <a:endParaRPr lang="en-US" sz="1200" b="1"/>
        </a:p>
      </xdr:txBody>
    </xdr:sp>
    <xdr:clientData/>
  </xdr:twoCellAnchor>
  <xdr:twoCellAnchor>
    <xdr:from>
      <xdr:col>2</xdr:col>
      <xdr:colOff>39688</xdr:colOff>
      <xdr:row>0</xdr:row>
      <xdr:rowOff>142875</xdr:rowOff>
    </xdr:from>
    <xdr:to>
      <xdr:col>3</xdr:col>
      <xdr:colOff>481979</xdr:colOff>
      <xdr:row>2</xdr:row>
      <xdr:rowOff>55563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8312F33F-963C-4CF6-A665-D88720BEFEE5}"/>
            </a:ext>
          </a:extLst>
        </xdr:cNvPr>
        <xdr:cNvSpPr/>
      </xdr:nvSpPr>
      <xdr:spPr>
        <a:xfrm>
          <a:off x="1258888" y="142875"/>
          <a:ext cx="1051891" cy="278448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From</a:t>
          </a:r>
        </a:p>
      </xdr:txBody>
    </xdr:sp>
    <xdr:clientData/>
  </xdr:twoCellAnchor>
  <xdr:twoCellAnchor>
    <xdr:from>
      <xdr:col>3</xdr:col>
      <xdr:colOff>493713</xdr:colOff>
      <xdr:row>0</xdr:row>
      <xdr:rowOff>144461</xdr:rowOff>
    </xdr:from>
    <xdr:to>
      <xdr:col>6</xdr:col>
      <xdr:colOff>150813</xdr:colOff>
      <xdr:row>2</xdr:row>
      <xdr:rowOff>55013</xdr:rowOff>
    </xdr:to>
    <xdr:sp macro="" textlink="$G$5">
      <xdr:nvSpPr>
        <xdr:cNvPr id="20" name="Rectangle 19">
          <a:extLst>
            <a:ext uri="{FF2B5EF4-FFF2-40B4-BE49-F238E27FC236}">
              <a16:creationId xmlns:a16="http://schemas.microsoft.com/office/drawing/2014/main" id="{995FAAC7-58D4-45D7-95D2-B9E3E2354F5F}"/>
            </a:ext>
          </a:extLst>
        </xdr:cNvPr>
        <xdr:cNvSpPr/>
      </xdr:nvSpPr>
      <xdr:spPr>
        <a:xfrm>
          <a:off x="2322513" y="144461"/>
          <a:ext cx="1310640" cy="27631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7D7D287-93FA-4632-B81E-C1A385C8653B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01-Jun-2025</a:t>
          </a:fld>
          <a:endParaRPr lang="en-US" sz="1200" b="1"/>
        </a:p>
      </xdr:txBody>
    </xdr:sp>
    <xdr:clientData/>
  </xdr:twoCellAnchor>
  <xdr:twoCellAnchor>
    <xdr:from>
      <xdr:col>10</xdr:col>
      <xdr:colOff>129540</xdr:colOff>
      <xdr:row>0</xdr:row>
      <xdr:rowOff>99060</xdr:rowOff>
    </xdr:from>
    <xdr:to>
      <xdr:col>24</xdr:col>
      <xdr:colOff>53340</xdr:colOff>
      <xdr:row>2</xdr:row>
      <xdr:rowOff>45720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F307CBA4-E5A2-40D9-8620-A12DF1879D4A}"/>
            </a:ext>
          </a:extLst>
        </xdr:cNvPr>
        <xdr:cNvSpPr/>
      </xdr:nvSpPr>
      <xdr:spPr>
        <a:xfrm>
          <a:off x="6987540" y="99060"/>
          <a:ext cx="3855720" cy="31242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152400</xdr:colOff>
      <xdr:row>0</xdr:row>
      <xdr:rowOff>91440</xdr:rowOff>
    </xdr:from>
    <xdr:to>
      <xdr:col>22</xdr:col>
      <xdr:colOff>91440</xdr:colOff>
      <xdr:row>2</xdr:row>
      <xdr:rowOff>76200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EA7503AD-AA46-4BE9-9258-C6216AE1268A}"/>
            </a:ext>
          </a:extLst>
        </xdr:cNvPr>
        <xdr:cNvSpPr/>
      </xdr:nvSpPr>
      <xdr:spPr>
        <a:xfrm>
          <a:off x="7284720" y="91440"/>
          <a:ext cx="2994660" cy="3505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chemeClr val="tx1"/>
              </a:solidFill>
            </a:rPr>
            <a:t>Dashboard</a:t>
          </a:r>
          <a:r>
            <a:rPr lang="en-US" sz="1400" b="1" baseline="0">
              <a:solidFill>
                <a:schemeClr val="tx1"/>
              </a:solidFill>
            </a:rPr>
            <a:t> For The Month Of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10</xdr:col>
      <xdr:colOff>121920</xdr:colOff>
      <xdr:row>0</xdr:row>
      <xdr:rowOff>106680</xdr:rowOff>
    </xdr:from>
    <xdr:to>
      <xdr:col>11</xdr:col>
      <xdr:colOff>176231</xdr:colOff>
      <xdr:row>2</xdr:row>
      <xdr:rowOff>36594</xdr:rowOff>
    </xdr:to>
    <xdr:pic>
      <xdr:nvPicPr>
        <xdr:cNvPr id="23" name="Graphic 22" descr="Research with solid fill">
          <a:extLst>
            <a:ext uri="{FF2B5EF4-FFF2-40B4-BE49-F238E27FC236}">
              <a16:creationId xmlns:a16="http://schemas.microsoft.com/office/drawing/2014/main" id="{57B0B687-0EEE-451E-8B24-0F51B2447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6979920" y="106680"/>
          <a:ext cx="328631" cy="295674"/>
        </a:xfrm>
        <a:prstGeom prst="rect">
          <a:avLst/>
        </a:prstGeom>
      </xdr:spPr>
    </xdr:pic>
    <xdr:clientData/>
  </xdr:twoCellAnchor>
  <xdr:twoCellAnchor>
    <xdr:from>
      <xdr:col>19</xdr:col>
      <xdr:colOff>167640</xdr:colOff>
      <xdr:row>0</xdr:row>
      <xdr:rowOff>60960</xdr:rowOff>
    </xdr:from>
    <xdr:to>
      <xdr:col>23</xdr:col>
      <xdr:colOff>228600</xdr:colOff>
      <xdr:row>2</xdr:row>
      <xdr:rowOff>45720</xdr:rowOff>
    </xdr:to>
    <xdr:sp macro="" textlink="$E$5">
      <xdr:nvSpPr>
        <xdr:cNvPr id="24" name="Rectangle: Rounded Corners 23">
          <a:extLst>
            <a:ext uri="{FF2B5EF4-FFF2-40B4-BE49-F238E27FC236}">
              <a16:creationId xmlns:a16="http://schemas.microsoft.com/office/drawing/2014/main" id="{7AAA1082-9610-4BC9-9797-F452FC0827DB}"/>
            </a:ext>
          </a:extLst>
        </xdr:cNvPr>
        <xdr:cNvSpPr/>
      </xdr:nvSpPr>
      <xdr:spPr>
        <a:xfrm>
          <a:off x="9517380" y="60960"/>
          <a:ext cx="1173480" cy="3505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B9C85A59-FB1C-438C-92E4-56515B55565E}" type="TxLink">
            <a:rPr lang="en-US" sz="1600" b="1" i="0" u="none" strike="noStrike">
              <a:solidFill>
                <a:schemeClr val="accent2"/>
              </a:solidFill>
              <a:latin typeface="Calibri"/>
              <a:ea typeface="Calibri"/>
              <a:cs typeface="Calibri"/>
            </a:rPr>
            <a:pPr algn="l"/>
            <a:t>June</a:t>
          </a:fld>
          <a:endParaRPr lang="en-US" sz="1600" b="1">
            <a:solidFill>
              <a:schemeClr val="accent2"/>
            </a:solidFill>
          </a:endParaRPr>
        </a:p>
      </xdr:txBody>
    </xdr:sp>
    <xdr:clientData/>
  </xdr:twoCellAnchor>
  <xdr:twoCellAnchor>
    <xdr:from>
      <xdr:col>27</xdr:col>
      <xdr:colOff>60960</xdr:colOff>
      <xdr:row>0</xdr:row>
      <xdr:rowOff>91440</xdr:rowOff>
    </xdr:from>
    <xdr:to>
      <xdr:col>29</xdr:col>
      <xdr:colOff>53340</xdr:colOff>
      <xdr:row>2</xdr:row>
      <xdr:rowOff>7620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32784205-E265-4E0B-A3A3-CA194F8B998B}"/>
            </a:ext>
          </a:extLst>
        </xdr:cNvPr>
        <xdr:cNvSpPr/>
      </xdr:nvSpPr>
      <xdr:spPr>
        <a:xfrm>
          <a:off x="11605260" y="914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🟢</a:t>
          </a:r>
        </a:p>
      </xdr:txBody>
    </xdr:sp>
    <xdr:clientData/>
  </xdr:twoCellAnchor>
  <xdr:twoCellAnchor>
    <xdr:from>
      <xdr:col>27</xdr:col>
      <xdr:colOff>23497</xdr:colOff>
      <xdr:row>0</xdr:row>
      <xdr:rowOff>67625</xdr:rowOff>
    </xdr:from>
    <xdr:to>
      <xdr:col>31</xdr:col>
      <xdr:colOff>145417</xdr:colOff>
      <xdr:row>1</xdr:row>
      <xdr:rowOff>161057</xdr:rowOff>
    </xdr:to>
    <xdr:sp macro="" textlink="$J$5">
      <xdr:nvSpPr>
        <xdr:cNvPr id="26" name="Rectangle 25">
          <a:extLst>
            <a:ext uri="{FF2B5EF4-FFF2-40B4-BE49-F238E27FC236}">
              <a16:creationId xmlns:a16="http://schemas.microsoft.com/office/drawing/2014/main" id="{A687E810-5B9C-4B13-9600-E8438E3280A2}"/>
            </a:ext>
          </a:extLst>
        </xdr:cNvPr>
        <xdr:cNvSpPr/>
      </xdr:nvSpPr>
      <xdr:spPr>
        <a:xfrm>
          <a:off x="11567797" y="6762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Present</a:t>
          </a:r>
        </a:p>
      </xdr:txBody>
    </xdr:sp>
    <xdr:clientData/>
  </xdr:twoCellAnchor>
  <xdr:twoCellAnchor>
    <xdr:from>
      <xdr:col>27</xdr:col>
      <xdr:colOff>213360</xdr:colOff>
      <xdr:row>1</xdr:row>
      <xdr:rowOff>60960</xdr:rowOff>
    </xdr:from>
    <xdr:to>
      <xdr:col>29</xdr:col>
      <xdr:colOff>205740</xdr:colOff>
      <xdr:row>2</xdr:row>
      <xdr:rowOff>160020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6566134E-2450-443A-BB72-5AAA5BA659AE}"/>
            </a:ext>
          </a:extLst>
        </xdr:cNvPr>
        <xdr:cNvSpPr/>
      </xdr:nvSpPr>
      <xdr:spPr>
        <a:xfrm>
          <a:off x="11757660" y="2438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900"/>
        </a:p>
      </xdr:txBody>
    </xdr:sp>
    <xdr:clientData/>
  </xdr:twoCellAnchor>
  <xdr:twoCellAnchor>
    <xdr:from>
      <xdr:col>34</xdr:col>
      <xdr:colOff>7620</xdr:colOff>
      <xdr:row>0</xdr:row>
      <xdr:rowOff>106680</xdr:rowOff>
    </xdr:from>
    <xdr:to>
      <xdr:col>36</xdr:col>
      <xdr:colOff>0</xdr:colOff>
      <xdr:row>2</xdr:row>
      <xdr:rowOff>22860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BE0ED511-7D14-4697-B775-14AE3EDBF089}"/>
            </a:ext>
          </a:extLst>
        </xdr:cNvPr>
        <xdr:cNvSpPr/>
      </xdr:nvSpPr>
      <xdr:spPr>
        <a:xfrm>
          <a:off x="13540740" y="10668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>
              <a:solidFill>
                <a:schemeClr val="accent2"/>
              </a:solidFill>
            </a:rPr>
            <a:t>.🟡</a:t>
          </a:r>
        </a:p>
      </xdr:txBody>
    </xdr:sp>
    <xdr:clientData/>
  </xdr:twoCellAnchor>
  <xdr:twoCellAnchor>
    <xdr:from>
      <xdr:col>33</xdr:col>
      <xdr:colOff>213997</xdr:colOff>
      <xdr:row>0</xdr:row>
      <xdr:rowOff>82865</xdr:rowOff>
    </xdr:from>
    <xdr:to>
      <xdr:col>38</xdr:col>
      <xdr:colOff>92077</xdr:colOff>
      <xdr:row>1</xdr:row>
      <xdr:rowOff>176297</xdr:rowOff>
    </xdr:to>
    <xdr:sp macro="" textlink="$J$5">
      <xdr:nvSpPr>
        <xdr:cNvPr id="29" name="Rectangle 28">
          <a:extLst>
            <a:ext uri="{FF2B5EF4-FFF2-40B4-BE49-F238E27FC236}">
              <a16:creationId xmlns:a16="http://schemas.microsoft.com/office/drawing/2014/main" id="{43F86B27-8B38-4053-A645-11A3A8AA9C5D}"/>
            </a:ext>
          </a:extLst>
        </xdr:cNvPr>
        <xdr:cNvSpPr/>
      </xdr:nvSpPr>
      <xdr:spPr>
        <a:xfrm>
          <a:off x="13503277" y="8286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Leave</a:t>
          </a:r>
        </a:p>
      </xdr:txBody>
    </xdr:sp>
    <xdr:clientData/>
  </xdr:twoCellAnchor>
  <xdr:twoCellAnchor>
    <xdr:from>
      <xdr:col>30</xdr:col>
      <xdr:colOff>167640</xdr:colOff>
      <xdr:row>0</xdr:row>
      <xdr:rowOff>91440</xdr:rowOff>
    </xdr:from>
    <xdr:to>
      <xdr:col>32</xdr:col>
      <xdr:colOff>152400</xdr:colOff>
      <xdr:row>2</xdr:row>
      <xdr:rowOff>7620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C5B2CE18-97EF-4D40-A47E-CD06D6DCC3B6}"/>
            </a:ext>
          </a:extLst>
        </xdr:cNvPr>
        <xdr:cNvSpPr/>
      </xdr:nvSpPr>
      <xdr:spPr>
        <a:xfrm>
          <a:off x="12580620" y="914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🔴</a:t>
          </a:r>
        </a:p>
      </xdr:txBody>
    </xdr:sp>
    <xdr:clientData/>
  </xdr:twoCellAnchor>
  <xdr:twoCellAnchor>
    <xdr:from>
      <xdr:col>30</xdr:col>
      <xdr:colOff>99697</xdr:colOff>
      <xdr:row>0</xdr:row>
      <xdr:rowOff>82865</xdr:rowOff>
    </xdr:from>
    <xdr:to>
      <xdr:col>35</xdr:col>
      <xdr:colOff>31117</xdr:colOff>
      <xdr:row>1</xdr:row>
      <xdr:rowOff>176297</xdr:rowOff>
    </xdr:to>
    <xdr:sp macro="" textlink="$J$5">
      <xdr:nvSpPr>
        <xdr:cNvPr id="31" name="Rectangle 30">
          <a:extLst>
            <a:ext uri="{FF2B5EF4-FFF2-40B4-BE49-F238E27FC236}">
              <a16:creationId xmlns:a16="http://schemas.microsoft.com/office/drawing/2014/main" id="{2B554BE7-7F3D-42D1-A446-2DC76871A24E}"/>
            </a:ext>
          </a:extLst>
        </xdr:cNvPr>
        <xdr:cNvSpPr/>
      </xdr:nvSpPr>
      <xdr:spPr>
        <a:xfrm>
          <a:off x="12512677" y="8286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Absent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0</xdr:rowOff>
    </xdr:from>
    <xdr:to>
      <xdr:col>41</xdr:col>
      <xdr:colOff>45720</xdr:colOff>
      <xdr:row>2</xdr:row>
      <xdr:rowOff>162365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71BA48D-826A-408E-957F-B9B6D2F6941C}"/>
            </a:ext>
          </a:extLst>
        </xdr:cNvPr>
        <xdr:cNvSpPr/>
      </xdr:nvSpPr>
      <xdr:spPr>
        <a:xfrm>
          <a:off x="1257300" y="0"/>
          <a:ext cx="14638020" cy="52812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45719</xdr:colOff>
      <xdr:row>33</xdr:row>
      <xdr:rowOff>160020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6B6160B-7E5F-424F-9B98-EB8CA04882EF}"/>
            </a:ext>
          </a:extLst>
        </xdr:cNvPr>
        <xdr:cNvSpPr/>
      </xdr:nvSpPr>
      <xdr:spPr>
        <a:xfrm flipH="1" flipV="1">
          <a:off x="0" y="0"/>
          <a:ext cx="1264919" cy="6271260"/>
        </a:xfrm>
        <a:prstGeom prst="rect">
          <a:avLst/>
        </a:prstGeom>
        <a:solidFill>
          <a:schemeClr val="tx1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3</xdr:row>
      <xdr:rowOff>160020</xdr:rowOff>
    </xdr:from>
    <xdr:to>
      <xdr:col>2</xdr:col>
      <xdr:colOff>464820</xdr:colOff>
      <xdr:row>5</xdr:row>
      <xdr:rowOff>99060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D23F21-A642-4423-96D3-6BBF69E22900}"/>
            </a:ext>
          </a:extLst>
        </xdr:cNvPr>
        <xdr:cNvSpPr/>
      </xdr:nvSpPr>
      <xdr:spPr>
        <a:xfrm>
          <a:off x="0" y="70866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January </a:t>
          </a:r>
        </a:p>
      </xdr:txBody>
    </xdr:sp>
    <xdr:clientData/>
  </xdr:twoCellAnchor>
  <xdr:twoCellAnchor>
    <xdr:from>
      <xdr:col>0</xdr:col>
      <xdr:colOff>0</xdr:colOff>
      <xdr:row>5</xdr:row>
      <xdr:rowOff>144780</xdr:rowOff>
    </xdr:from>
    <xdr:to>
      <xdr:col>2</xdr:col>
      <xdr:colOff>464820</xdr:colOff>
      <xdr:row>7</xdr:row>
      <xdr:rowOff>76200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5E81DC7-6AD8-4129-8E98-2ACBF35DEA33}"/>
            </a:ext>
          </a:extLst>
        </xdr:cNvPr>
        <xdr:cNvSpPr/>
      </xdr:nvSpPr>
      <xdr:spPr>
        <a:xfrm>
          <a:off x="0" y="1059180"/>
          <a:ext cx="1684020" cy="31242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bg1"/>
              </a:solidFill>
            </a:rPr>
            <a:t>February</a:t>
          </a:r>
          <a:r>
            <a:rPr lang="en-US" sz="1200"/>
            <a:t> </a:t>
          </a:r>
        </a:p>
      </xdr:txBody>
    </xdr:sp>
    <xdr:clientData/>
  </xdr:twoCellAnchor>
  <xdr:twoCellAnchor>
    <xdr:from>
      <xdr:col>0</xdr:col>
      <xdr:colOff>0</xdr:colOff>
      <xdr:row>7</xdr:row>
      <xdr:rowOff>137160</xdr:rowOff>
    </xdr:from>
    <xdr:to>
      <xdr:col>2</xdr:col>
      <xdr:colOff>464820</xdr:colOff>
      <xdr:row>9</xdr:row>
      <xdr:rowOff>76200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0A46040-FA81-45FD-8336-90674CAF4895}"/>
            </a:ext>
          </a:extLst>
        </xdr:cNvPr>
        <xdr:cNvSpPr/>
      </xdr:nvSpPr>
      <xdr:spPr>
        <a:xfrm>
          <a:off x="0" y="1432560"/>
          <a:ext cx="1684020" cy="35814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March</a:t>
          </a:r>
        </a:p>
      </xdr:txBody>
    </xdr:sp>
    <xdr:clientData/>
  </xdr:twoCellAnchor>
  <xdr:twoCellAnchor>
    <xdr:from>
      <xdr:col>0</xdr:col>
      <xdr:colOff>0</xdr:colOff>
      <xdr:row>9</xdr:row>
      <xdr:rowOff>121920</xdr:rowOff>
    </xdr:from>
    <xdr:to>
      <xdr:col>2</xdr:col>
      <xdr:colOff>464820</xdr:colOff>
      <xdr:row>11</xdr:row>
      <xdr:rowOff>60960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3DA2700-852D-40C0-B95D-4790CA7BC8DE}"/>
            </a:ext>
          </a:extLst>
        </xdr:cNvPr>
        <xdr:cNvSpPr/>
      </xdr:nvSpPr>
      <xdr:spPr>
        <a:xfrm>
          <a:off x="0" y="183642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April </a:t>
          </a:r>
        </a:p>
      </xdr:txBody>
    </xdr:sp>
    <xdr:clientData/>
  </xdr:twoCellAnchor>
  <xdr:twoCellAnchor>
    <xdr:from>
      <xdr:col>0</xdr:col>
      <xdr:colOff>0</xdr:colOff>
      <xdr:row>11</xdr:row>
      <xdr:rowOff>121920</xdr:rowOff>
    </xdr:from>
    <xdr:to>
      <xdr:col>2</xdr:col>
      <xdr:colOff>464820</xdr:colOff>
      <xdr:row>13</xdr:row>
      <xdr:rowOff>60960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E06B666-0AE0-4D5D-ABB3-ECF05D6503EE}"/>
            </a:ext>
          </a:extLst>
        </xdr:cNvPr>
        <xdr:cNvSpPr/>
      </xdr:nvSpPr>
      <xdr:spPr>
        <a:xfrm>
          <a:off x="0" y="220218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May </a:t>
          </a:r>
        </a:p>
      </xdr:txBody>
    </xdr:sp>
    <xdr:clientData/>
  </xdr:twoCellAnchor>
  <xdr:twoCellAnchor>
    <xdr:from>
      <xdr:col>0</xdr:col>
      <xdr:colOff>0</xdr:colOff>
      <xdr:row>23</xdr:row>
      <xdr:rowOff>167640</xdr:rowOff>
    </xdr:from>
    <xdr:to>
      <xdr:col>2</xdr:col>
      <xdr:colOff>464820</xdr:colOff>
      <xdr:row>25</xdr:row>
      <xdr:rowOff>106680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FDDBE87-AA1C-4831-8799-08FACEC08AFB}"/>
            </a:ext>
          </a:extLst>
        </xdr:cNvPr>
        <xdr:cNvSpPr/>
      </xdr:nvSpPr>
      <xdr:spPr>
        <a:xfrm>
          <a:off x="0" y="444246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November </a:t>
          </a:r>
        </a:p>
      </xdr:txBody>
    </xdr:sp>
    <xdr:clientData/>
  </xdr:twoCellAnchor>
  <xdr:twoCellAnchor>
    <xdr:from>
      <xdr:col>0</xdr:col>
      <xdr:colOff>0</xdr:colOff>
      <xdr:row>25</xdr:row>
      <xdr:rowOff>175260</xdr:rowOff>
    </xdr:from>
    <xdr:to>
      <xdr:col>2</xdr:col>
      <xdr:colOff>464820</xdr:colOff>
      <xdr:row>27</xdr:row>
      <xdr:rowOff>114300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7FAC43D-A262-4FF2-B073-BD2AA4D350BD}"/>
            </a:ext>
          </a:extLst>
        </xdr:cNvPr>
        <xdr:cNvSpPr/>
      </xdr:nvSpPr>
      <xdr:spPr>
        <a:xfrm>
          <a:off x="0" y="481584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December </a:t>
          </a:r>
        </a:p>
      </xdr:txBody>
    </xdr:sp>
    <xdr:clientData/>
  </xdr:twoCellAnchor>
  <xdr:twoCellAnchor>
    <xdr:from>
      <xdr:col>0</xdr:col>
      <xdr:colOff>0</xdr:colOff>
      <xdr:row>13</xdr:row>
      <xdr:rowOff>121920</xdr:rowOff>
    </xdr:from>
    <xdr:to>
      <xdr:col>2</xdr:col>
      <xdr:colOff>464820</xdr:colOff>
      <xdr:row>15</xdr:row>
      <xdr:rowOff>60960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9118D90-D038-47EC-A072-3E004A3AC368}"/>
            </a:ext>
          </a:extLst>
        </xdr:cNvPr>
        <xdr:cNvSpPr/>
      </xdr:nvSpPr>
      <xdr:spPr>
        <a:xfrm>
          <a:off x="0" y="256794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bg1"/>
              </a:solidFill>
            </a:rPr>
            <a:t>June</a:t>
          </a:r>
          <a:endParaRPr lang="en-US" sz="1200"/>
        </a:p>
      </xdr:txBody>
    </xdr:sp>
    <xdr:clientData/>
  </xdr:twoCellAnchor>
  <xdr:twoCellAnchor>
    <xdr:from>
      <xdr:col>0</xdr:col>
      <xdr:colOff>464820</xdr:colOff>
      <xdr:row>15</xdr:row>
      <xdr:rowOff>129540</xdr:rowOff>
    </xdr:from>
    <xdr:to>
      <xdr:col>3</xdr:col>
      <xdr:colOff>320040</xdr:colOff>
      <xdr:row>17</xdr:row>
      <xdr:rowOff>68580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0014308-F733-4F32-8180-5E35D0091D91}"/>
            </a:ext>
          </a:extLst>
        </xdr:cNvPr>
        <xdr:cNvSpPr/>
      </xdr:nvSpPr>
      <xdr:spPr>
        <a:xfrm>
          <a:off x="464820" y="2941320"/>
          <a:ext cx="1684020" cy="3048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tx1"/>
              </a:solidFill>
              <a:latin typeface="+mn-lt"/>
              <a:ea typeface="+mn-ea"/>
              <a:cs typeface="+mn-cs"/>
            </a:rPr>
            <a:t>July</a:t>
          </a:r>
        </a:p>
      </xdr:txBody>
    </xdr:sp>
    <xdr:clientData/>
  </xdr:twoCellAnchor>
  <xdr:twoCellAnchor>
    <xdr:from>
      <xdr:col>0</xdr:col>
      <xdr:colOff>0</xdr:colOff>
      <xdr:row>17</xdr:row>
      <xdr:rowOff>137160</xdr:rowOff>
    </xdr:from>
    <xdr:to>
      <xdr:col>2</xdr:col>
      <xdr:colOff>464820</xdr:colOff>
      <xdr:row>19</xdr:row>
      <xdr:rowOff>76200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40BF9EA-267A-48EB-8F1D-1EA49B9E8DAA}"/>
            </a:ext>
          </a:extLst>
        </xdr:cNvPr>
        <xdr:cNvSpPr/>
      </xdr:nvSpPr>
      <xdr:spPr>
        <a:xfrm>
          <a:off x="0" y="331470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August</a:t>
          </a:r>
        </a:p>
      </xdr:txBody>
    </xdr:sp>
    <xdr:clientData/>
  </xdr:twoCellAnchor>
  <xdr:twoCellAnchor>
    <xdr:from>
      <xdr:col>0</xdr:col>
      <xdr:colOff>0</xdr:colOff>
      <xdr:row>19</xdr:row>
      <xdr:rowOff>144780</xdr:rowOff>
    </xdr:from>
    <xdr:to>
      <xdr:col>2</xdr:col>
      <xdr:colOff>464820</xdr:colOff>
      <xdr:row>21</xdr:row>
      <xdr:rowOff>83820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B16875B5-672D-440F-9D15-A8F029DEA8D0}"/>
            </a:ext>
          </a:extLst>
        </xdr:cNvPr>
        <xdr:cNvSpPr/>
      </xdr:nvSpPr>
      <xdr:spPr>
        <a:xfrm>
          <a:off x="0" y="368808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September</a:t>
          </a:r>
        </a:p>
      </xdr:txBody>
    </xdr:sp>
    <xdr:clientData/>
  </xdr:twoCellAnchor>
  <xdr:twoCellAnchor>
    <xdr:from>
      <xdr:col>0</xdr:col>
      <xdr:colOff>0</xdr:colOff>
      <xdr:row>21</xdr:row>
      <xdr:rowOff>152400</xdr:rowOff>
    </xdr:from>
    <xdr:to>
      <xdr:col>2</xdr:col>
      <xdr:colOff>464820</xdr:colOff>
      <xdr:row>23</xdr:row>
      <xdr:rowOff>91440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2853D150-C17B-4EF9-9F42-D2A3DABE8A4B}"/>
            </a:ext>
          </a:extLst>
        </xdr:cNvPr>
        <xdr:cNvSpPr/>
      </xdr:nvSpPr>
      <xdr:spPr>
        <a:xfrm>
          <a:off x="0" y="406146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October</a:t>
          </a:r>
        </a:p>
      </xdr:txBody>
    </xdr:sp>
    <xdr:clientData/>
  </xdr:twoCellAnchor>
  <xdr:twoCellAnchor>
    <xdr:from>
      <xdr:col>42</xdr:col>
      <xdr:colOff>11723</xdr:colOff>
      <xdr:row>0</xdr:row>
      <xdr:rowOff>0</xdr:rowOff>
    </xdr:from>
    <xdr:to>
      <xdr:col>56</xdr:col>
      <xdr:colOff>730250</xdr:colOff>
      <xdr:row>2</xdr:row>
      <xdr:rowOff>175847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287A5D04-05B6-4B2D-A3B9-BFB8E17BC298}"/>
            </a:ext>
          </a:extLst>
        </xdr:cNvPr>
        <xdr:cNvSpPr/>
      </xdr:nvSpPr>
      <xdr:spPr>
        <a:xfrm>
          <a:off x="16470923" y="0"/>
          <a:ext cx="11630367" cy="541607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  <a:prstDash val="solid"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3600" b="1">
              <a:solidFill>
                <a:schemeClr val="tx1"/>
              </a:solidFill>
              <a:latin typeface="Aparajita" panose="02020603050405020304" pitchFamily="18" charset="0"/>
              <a:cs typeface="Aparajita" panose="02020603050405020304" pitchFamily="18" charset="0"/>
            </a:rPr>
            <a:t>Monthly  Report</a:t>
          </a:r>
        </a:p>
      </xdr:txBody>
    </xdr:sp>
    <xdr:clientData/>
  </xdr:twoCellAnchor>
  <xdr:twoCellAnchor>
    <xdr:from>
      <xdr:col>6</xdr:col>
      <xdr:colOff>396876</xdr:colOff>
      <xdr:row>0</xdr:row>
      <xdr:rowOff>126999</xdr:rowOff>
    </xdr:from>
    <xdr:to>
      <xdr:col>7</xdr:col>
      <xdr:colOff>474042</xdr:colOff>
      <xdr:row>2</xdr:row>
      <xdr:rowOff>39687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CA477D57-C565-4D54-B3AB-3139645C05FA}"/>
            </a:ext>
          </a:extLst>
        </xdr:cNvPr>
        <xdr:cNvSpPr/>
      </xdr:nvSpPr>
      <xdr:spPr>
        <a:xfrm>
          <a:off x="3879216" y="126999"/>
          <a:ext cx="1060146" cy="278448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To</a:t>
          </a:r>
        </a:p>
      </xdr:txBody>
    </xdr:sp>
    <xdr:clientData/>
  </xdr:twoCellAnchor>
  <xdr:twoCellAnchor>
    <xdr:from>
      <xdr:col>7</xdr:col>
      <xdr:colOff>461964</xdr:colOff>
      <xdr:row>0</xdr:row>
      <xdr:rowOff>128585</xdr:rowOff>
    </xdr:from>
    <xdr:to>
      <xdr:col>8</xdr:col>
      <xdr:colOff>500064</xdr:colOff>
      <xdr:row>2</xdr:row>
      <xdr:rowOff>39137</xdr:rowOff>
    </xdr:to>
    <xdr:sp macro="" textlink="$J$5">
      <xdr:nvSpPr>
        <xdr:cNvPr id="18" name="Rectangle 17">
          <a:extLst>
            <a:ext uri="{FF2B5EF4-FFF2-40B4-BE49-F238E27FC236}">
              <a16:creationId xmlns:a16="http://schemas.microsoft.com/office/drawing/2014/main" id="{D4C992DF-DCBC-45D0-BDB3-B17EB4691552}"/>
            </a:ext>
          </a:extLst>
        </xdr:cNvPr>
        <xdr:cNvSpPr/>
      </xdr:nvSpPr>
      <xdr:spPr>
        <a:xfrm>
          <a:off x="4927284" y="128585"/>
          <a:ext cx="1325880" cy="27631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EDA3192-0DC9-41BE-8537-F40AE859E52F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31-Jul-2025</a:t>
          </a:fld>
          <a:endParaRPr lang="en-US" sz="1200" b="1"/>
        </a:p>
      </xdr:txBody>
    </xdr:sp>
    <xdr:clientData/>
  </xdr:twoCellAnchor>
  <xdr:twoCellAnchor>
    <xdr:from>
      <xdr:col>2</xdr:col>
      <xdr:colOff>39688</xdr:colOff>
      <xdr:row>0</xdr:row>
      <xdr:rowOff>142875</xdr:rowOff>
    </xdr:from>
    <xdr:to>
      <xdr:col>3</xdr:col>
      <xdr:colOff>481979</xdr:colOff>
      <xdr:row>2</xdr:row>
      <xdr:rowOff>55563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B33FD678-0AC0-4E88-814C-647445B5B467}"/>
            </a:ext>
          </a:extLst>
        </xdr:cNvPr>
        <xdr:cNvSpPr/>
      </xdr:nvSpPr>
      <xdr:spPr>
        <a:xfrm>
          <a:off x="1258888" y="142875"/>
          <a:ext cx="1051891" cy="278448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From</a:t>
          </a:r>
        </a:p>
      </xdr:txBody>
    </xdr:sp>
    <xdr:clientData/>
  </xdr:twoCellAnchor>
  <xdr:twoCellAnchor>
    <xdr:from>
      <xdr:col>3</xdr:col>
      <xdr:colOff>493713</xdr:colOff>
      <xdr:row>0</xdr:row>
      <xdr:rowOff>144461</xdr:rowOff>
    </xdr:from>
    <xdr:to>
      <xdr:col>6</xdr:col>
      <xdr:colOff>150813</xdr:colOff>
      <xdr:row>2</xdr:row>
      <xdr:rowOff>55013</xdr:rowOff>
    </xdr:to>
    <xdr:sp macro="" textlink="$G$5">
      <xdr:nvSpPr>
        <xdr:cNvPr id="20" name="Rectangle 19">
          <a:extLst>
            <a:ext uri="{FF2B5EF4-FFF2-40B4-BE49-F238E27FC236}">
              <a16:creationId xmlns:a16="http://schemas.microsoft.com/office/drawing/2014/main" id="{64F8A9BF-B64B-41C0-B165-DF73B3CB9A8A}"/>
            </a:ext>
          </a:extLst>
        </xdr:cNvPr>
        <xdr:cNvSpPr/>
      </xdr:nvSpPr>
      <xdr:spPr>
        <a:xfrm>
          <a:off x="2322513" y="144461"/>
          <a:ext cx="1310640" cy="27631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7D7D287-93FA-4632-B81E-C1A385C8653B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01-Jul-2025</a:t>
          </a:fld>
          <a:endParaRPr lang="en-US" sz="1200" b="1"/>
        </a:p>
      </xdr:txBody>
    </xdr:sp>
    <xdr:clientData/>
  </xdr:twoCellAnchor>
  <xdr:twoCellAnchor>
    <xdr:from>
      <xdr:col>10</xdr:col>
      <xdr:colOff>129540</xdr:colOff>
      <xdr:row>0</xdr:row>
      <xdr:rowOff>99060</xdr:rowOff>
    </xdr:from>
    <xdr:to>
      <xdr:col>24</xdr:col>
      <xdr:colOff>53340</xdr:colOff>
      <xdr:row>2</xdr:row>
      <xdr:rowOff>45720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A9ECE71D-D8DD-42AA-9AD9-8698362FB62E}"/>
            </a:ext>
          </a:extLst>
        </xdr:cNvPr>
        <xdr:cNvSpPr/>
      </xdr:nvSpPr>
      <xdr:spPr>
        <a:xfrm>
          <a:off x="6987540" y="99060"/>
          <a:ext cx="3855720" cy="31242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152400</xdr:colOff>
      <xdr:row>0</xdr:row>
      <xdr:rowOff>91440</xdr:rowOff>
    </xdr:from>
    <xdr:to>
      <xdr:col>22</xdr:col>
      <xdr:colOff>91440</xdr:colOff>
      <xdr:row>2</xdr:row>
      <xdr:rowOff>76200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B1277F1B-8303-44A6-A86E-0DC66E6D002C}"/>
            </a:ext>
          </a:extLst>
        </xdr:cNvPr>
        <xdr:cNvSpPr/>
      </xdr:nvSpPr>
      <xdr:spPr>
        <a:xfrm>
          <a:off x="7284720" y="91440"/>
          <a:ext cx="2994660" cy="3505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chemeClr val="tx1"/>
              </a:solidFill>
            </a:rPr>
            <a:t>Dashboard</a:t>
          </a:r>
          <a:r>
            <a:rPr lang="en-US" sz="1400" b="1" baseline="0">
              <a:solidFill>
                <a:schemeClr val="tx1"/>
              </a:solidFill>
            </a:rPr>
            <a:t> For The Month Of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10</xdr:col>
      <xdr:colOff>121920</xdr:colOff>
      <xdr:row>0</xdr:row>
      <xdr:rowOff>106680</xdr:rowOff>
    </xdr:from>
    <xdr:to>
      <xdr:col>11</xdr:col>
      <xdr:colOff>176231</xdr:colOff>
      <xdr:row>2</xdr:row>
      <xdr:rowOff>36594</xdr:rowOff>
    </xdr:to>
    <xdr:pic>
      <xdr:nvPicPr>
        <xdr:cNvPr id="23" name="Graphic 22" descr="Research with solid fill">
          <a:extLst>
            <a:ext uri="{FF2B5EF4-FFF2-40B4-BE49-F238E27FC236}">
              <a16:creationId xmlns:a16="http://schemas.microsoft.com/office/drawing/2014/main" id="{74017981-1B53-49EF-A75E-CF67929D9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6979920" y="106680"/>
          <a:ext cx="328631" cy="295674"/>
        </a:xfrm>
        <a:prstGeom prst="rect">
          <a:avLst/>
        </a:prstGeom>
      </xdr:spPr>
    </xdr:pic>
    <xdr:clientData/>
  </xdr:twoCellAnchor>
  <xdr:twoCellAnchor>
    <xdr:from>
      <xdr:col>19</xdr:col>
      <xdr:colOff>167640</xdr:colOff>
      <xdr:row>0</xdr:row>
      <xdr:rowOff>60960</xdr:rowOff>
    </xdr:from>
    <xdr:to>
      <xdr:col>23</xdr:col>
      <xdr:colOff>228600</xdr:colOff>
      <xdr:row>2</xdr:row>
      <xdr:rowOff>45720</xdr:rowOff>
    </xdr:to>
    <xdr:sp macro="" textlink="$E$5">
      <xdr:nvSpPr>
        <xdr:cNvPr id="24" name="Rectangle: Rounded Corners 23">
          <a:extLst>
            <a:ext uri="{FF2B5EF4-FFF2-40B4-BE49-F238E27FC236}">
              <a16:creationId xmlns:a16="http://schemas.microsoft.com/office/drawing/2014/main" id="{0D28D6B8-B7E0-4414-A6EB-AE6756933758}"/>
            </a:ext>
          </a:extLst>
        </xdr:cNvPr>
        <xdr:cNvSpPr/>
      </xdr:nvSpPr>
      <xdr:spPr>
        <a:xfrm>
          <a:off x="9517380" y="60960"/>
          <a:ext cx="1173480" cy="3505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B9C85A59-FB1C-438C-92E4-56515B55565E}" type="TxLink">
            <a:rPr lang="en-US" sz="1600" b="1" i="0" u="none" strike="noStrike">
              <a:solidFill>
                <a:schemeClr val="accent2"/>
              </a:solidFill>
              <a:latin typeface="Calibri"/>
              <a:ea typeface="Calibri"/>
              <a:cs typeface="Calibri"/>
            </a:rPr>
            <a:pPr algn="l"/>
            <a:t>July</a:t>
          </a:fld>
          <a:endParaRPr lang="en-US" sz="1600" b="1">
            <a:solidFill>
              <a:schemeClr val="accent2"/>
            </a:solidFill>
          </a:endParaRPr>
        </a:p>
      </xdr:txBody>
    </xdr:sp>
    <xdr:clientData/>
  </xdr:twoCellAnchor>
  <xdr:twoCellAnchor>
    <xdr:from>
      <xdr:col>27</xdr:col>
      <xdr:colOff>60960</xdr:colOff>
      <xdr:row>0</xdr:row>
      <xdr:rowOff>91440</xdr:rowOff>
    </xdr:from>
    <xdr:to>
      <xdr:col>29</xdr:col>
      <xdr:colOff>53340</xdr:colOff>
      <xdr:row>2</xdr:row>
      <xdr:rowOff>7620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8DD1CB9-681F-4DBF-9575-C14624CBCC2A}"/>
            </a:ext>
          </a:extLst>
        </xdr:cNvPr>
        <xdr:cNvSpPr/>
      </xdr:nvSpPr>
      <xdr:spPr>
        <a:xfrm>
          <a:off x="11605260" y="914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🟢</a:t>
          </a:r>
        </a:p>
      </xdr:txBody>
    </xdr:sp>
    <xdr:clientData/>
  </xdr:twoCellAnchor>
  <xdr:twoCellAnchor>
    <xdr:from>
      <xdr:col>27</xdr:col>
      <xdr:colOff>23497</xdr:colOff>
      <xdr:row>0</xdr:row>
      <xdr:rowOff>67625</xdr:rowOff>
    </xdr:from>
    <xdr:to>
      <xdr:col>31</xdr:col>
      <xdr:colOff>145417</xdr:colOff>
      <xdr:row>1</xdr:row>
      <xdr:rowOff>161057</xdr:rowOff>
    </xdr:to>
    <xdr:sp macro="" textlink="$J$5">
      <xdr:nvSpPr>
        <xdr:cNvPr id="26" name="Rectangle 25">
          <a:extLst>
            <a:ext uri="{FF2B5EF4-FFF2-40B4-BE49-F238E27FC236}">
              <a16:creationId xmlns:a16="http://schemas.microsoft.com/office/drawing/2014/main" id="{59268AF9-1B1E-4314-9D3D-3204011A2F1F}"/>
            </a:ext>
          </a:extLst>
        </xdr:cNvPr>
        <xdr:cNvSpPr/>
      </xdr:nvSpPr>
      <xdr:spPr>
        <a:xfrm>
          <a:off x="11567797" y="6762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Present</a:t>
          </a:r>
        </a:p>
      </xdr:txBody>
    </xdr:sp>
    <xdr:clientData/>
  </xdr:twoCellAnchor>
  <xdr:twoCellAnchor>
    <xdr:from>
      <xdr:col>27</xdr:col>
      <xdr:colOff>213360</xdr:colOff>
      <xdr:row>1</xdr:row>
      <xdr:rowOff>60960</xdr:rowOff>
    </xdr:from>
    <xdr:to>
      <xdr:col>29</xdr:col>
      <xdr:colOff>205740</xdr:colOff>
      <xdr:row>2</xdr:row>
      <xdr:rowOff>160020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728BDCBE-00C7-491F-8A87-A6B3335565AF}"/>
            </a:ext>
          </a:extLst>
        </xdr:cNvPr>
        <xdr:cNvSpPr/>
      </xdr:nvSpPr>
      <xdr:spPr>
        <a:xfrm>
          <a:off x="11757660" y="2438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900"/>
        </a:p>
      </xdr:txBody>
    </xdr:sp>
    <xdr:clientData/>
  </xdr:twoCellAnchor>
  <xdr:twoCellAnchor>
    <xdr:from>
      <xdr:col>34</xdr:col>
      <xdr:colOff>7620</xdr:colOff>
      <xdr:row>0</xdr:row>
      <xdr:rowOff>106680</xdr:rowOff>
    </xdr:from>
    <xdr:to>
      <xdr:col>36</xdr:col>
      <xdr:colOff>0</xdr:colOff>
      <xdr:row>2</xdr:row>
      <xdr:rowOff>22860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715563EE-9D60-4CA4-8797-773B473BB6DF}"/>
            </a:ext>
          </a:extLst>
        </xdr:cNvPr>
        <xdr:cNvSpPr/>
      </xdr:nvSpPr>
      <xdr:spPr>
        <a:xfrm>
          <a:off x="13540740" y="10668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>
              <a:solidFill>
                <a:schemeClr val="accent2"/>
              </a:solidFill>
            </a:rPr>
            <a:t>.🟡</a:t>
          </a:r>
        </a:p>
      </xdr:txBody>
    </xdr:sp>
    <xdr:clientData/>
  </xdr:twoCellAnchor>
  <xdr:twoCellAnchor>
    <xdr:from>
      <xdr:col>33</xdr:col>
      <xdr:colOff>213997</xdr:colOff>
      <xdr:row>0</xdr:row>
      <xdr:rowOff>82865</xdr:rowOff>
    </xdr:from>
    <xdr:to>
      <xdr:col>38</xdr:col>
      <xdr:colOff>92077</xdr:colOff>
      <xdr:row>1</xdr:row>
      <xdr:rowOff>176297</xdr:rowOff>
    </xdr:to>
    <xdr:sp macro="" textlink="$J$5">
      <xdr:nvSpPr>
        <xdr:cNvPr id="29" name="Rectangle 28">
          <a:extLst>
            <a:ext uri="{FF2B5EF4-FFF2-40B4-BE49-F238E27FC236}">
              <a16:creationId xmlns:a16="http://schemas.microsoft.com/office/drawing/2014/main" id="{6DB9CD06-82DE-477D-A8FB-3168FB2CDEBE}"/>
            </a:ext>
          </a:extLst>
        </xdr:cNvPr>
        <xdr:cNvSpPr/>
      </xdr:nvSpPr>
      <xdr:spPr>
        <a:xfrm>
          <a:off x="13503277" y="8286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Leave</a:t>
          </a:r>
        </a:p>
      </xdr:txBody>
    </xdr:sp>
    <xdr:clientData/>
  </xdr:twoCellAnchor>
  <xdr:twoCellAnchor>
    <xdr:from>
      <xdr:col>30</xdr:col>
      <xdr:colOff>167640</xdr:colOff>
      <xdr:row>0</xdr:row>
      <xdr:rowOff>91440</xdr:rowOff>
    </xdr:from>
    <xdr:to>
      <xdr:col>32</xdr:col>
      <xdr:colOff>152400</xdr:colOff>
      <xdr:row>2</xdr:row>
      <xdr:rowOff>7620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D29E7C91-4E2B-4F4B-B184-7FB774EAE3CF}"/>
            </a:ext>
          </a:extLst>
        </xdr:cNvPr>
        <xdr:cNvSpPr/>
      </xdr:nvSpPr>
      <xdr:spPr>
        <a:xfrm>
          <a:off x="12580620" y="914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🔴</a:t>
          </a:r>
        </a:p>
      </xdr:txBody>
    </xdr:sp>
    <xdr:clientData/>
  </xdr:twoCellAnchor>
  <xdr:twoCellAnchor>
    <xdr:from>
      <xdr:col>30</xdr:col>
      <xdr:colOff>99697</xdr:colOff>
      <xdr:row>0</xdr:row>
      <xdr:rowOff>82865</xdr:rowOff>
    </xdr:from>
    <xdr:to>
      <xdr:col>35</xdr:col>
      <xdr:colOff>31117</xdr:colOff>
      <xdr:row>1</xdr:row>
      <xdr:rowOff>176297</xdr:rowOff>
    </xdr:to>
    <xdr:sp macro="" textlink="$J$5">
      <xdr:nvSpPr>
        <xdr:cNvPr id="31" name="Rectangle 30">
          <a:extLst>
            <a:ext uri="{FF2B5EF4-FFF2-40B4-BE49-F238E27FC236}">
              <a16:creationId xmlns:a16="http://schemas.microsoft.com/office/drawing/2014/main" id="{C55B8779-8846-4819-95B8-E95304B23231}"/>
            </a:ext>
          </a:extLst>
        </xdr:cNvPr>
        <xdr:cNvSpPr/>
      </xdr:nvSpPr>
      <xdr:spPr>
        <a:xfrm>
          <a:off x="12512677" y="8286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Absent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0</xdr:rowOff>
    </xdr:from>
    <xdr:to>
      <xdr:col>41</xdr:col>
      <xdr:colOff>45720</xdr:colOff>
      <xdr:row>2</xdr:row>
      <xdr:rowOff>162365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6E0F21A-7F8F-4D92-AFEE-58D1405F8E95}"/>
            </a:ext>
          </a:extLst>
        </xdr:cNvPr>
        <xdr:cNvSpPr/>
      </xdr:nvSpPr>
      <xdr:spPr>
        <a:xfrm>
          <a:off x="1257300" y="0"/>
          <a:ext cx="14638020" cy="52812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45719</xdr:colOff>
      <xdr:row>33</xdr:row>
      <xdr:rowOff>160020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12B51D6-FFB3-4DAC-A1B3-0970DD349BB5}"/>
            </a:ext>
          </a:extLst>
        </xdr:cNvPr>
        <xdr:cNvSpPr/>
      </xdr:nvSpPr>
      <xdr:spPr>
        <a:xfrm flipH="1" flipV="1">
          <a:off x="0" y="0"/>
          <a:ext cx="1264919" cy="6271260"/>
        </a:xfrm>
        <a:prstGeom prst="rect">
          <a:avLst/>
        </a:prstGeom>
        <a:solidFill>
          <a:schemeClr val="tx1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3</xdr:row>
      <xdr:rowOff>160020</xdr:rowOff>
    </xdr:from>
    <xdr:to>
      <xdr:col>2</xdr:col>
      <xdr:colOff>464820</xdr:colOff>
      <xdr:row>5</xdr:row>
      <xdr:rowOff>99060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11E245-8226-4802-AA02-73EC1A0AFBB1}"/>
            </a:ext>
          </a:extLst>
        </xdr:cNvPr>
        <xdr:cNvSpPr/>
      </xdr:nvSpPr>
      <xdr:spPr>
        <a:xfrm>
          <a:off x="0" y="70866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January </a:t>
          </a:r>
        </a:p>
      </xdr:txBody>
    </xdr:sp>
    <xdr:clientData/>
  </xdr:twoCellAnchor>
  <xdr:twoCellAnchor>
    <xdr:from>
      <xdr:col>0</xdr:col>
      <xdr:colOff>0</xdr:colOff>
      <xdr:row>5</xdr:row>
      <xdr:rowOff>144780</xdr:rowOff>
    </xdr:from>
    <xdr:to>
      <xdr:col>2</xdr:col>
      <xdr:colOff>464820</xdr:colOff>
      <xdr:row>7</xdr:row>
      <xdr:rowOff>76200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32D0D42-3B41-44C6-8242-46655D9B0EF0}"/>
            </a:ext>
          </a:extLst>
        </xdr:cNvPr>
        <xdr:cNvSpPr/>
      </xdr:nvSpPr>
      <xdr:spPr>
        <a:xfrm>
          <a:off x="0" y="1059180"/>
          <a:ext cx="1684020" cy="31242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bg1"/>
              </a:solidFill>
            </a:rPr>
            <a:t>February</a:t>
          </a:r>
          <a:r>
            <a:rPr lang="en-US" sz="1200"/>
            <a:t> </a:t>
          </a:r>
        </a:p>
      </xdr:txBody>
    </xdr:sp>
    <xdr:clientData/>
  </xdr:twoCellAnchor>
  <xdr:twoCellAnchor>
    <xdr:from>
      <xdr:col>0</xdr:col>
      <xdr:colOff>0</xdr:colOff>
      <xdr:row>7</xdr:row>
      <xdr:rowOff>137160</xdr:rowOff>
    </xdr:from>
    <xdr:to>
      <xdr:col>2</xdr:col>
      <xdr:colOff>464820</xdr:colOff>
      <xdr:row>9</xdr:row>
      <xdr:rowOff>76200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40B15D5-C21D-4F47-8992-817B00602CC0}"/>
            </a:ext>
          </a:extLst>
        </xdr:cNvPr>
        <xdr:cNvSpPr/>
      </xdr:nvSpPr>
      <xdr:spPr>
        <a:xfrm>
          <a:off x="0" y="1432560"/>
          <a:ext cx="1684020" cy="35814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March</a:t>
          </a:r>
        </a:p>
      </xdr:txBody>
    </xdr:sp>
    <xdr:clientData/>
  </xdr:twoCellAnchor>
  <xdr:twoCellAnchor>
    <xdr:from>
      <xdr:col>0</xdr:col>
      <xdr:colOff>0</xdr:colOff>
      <xdr:row>9</xdr:row>
      <xdr:rowOff>121920</xdr:rowOff>
    </xdr:from>
    <xdr:to>
      <xdr:col>2</xdr:col>
      <xdr:colOff>464820</xdr:colOff>
      <xdr:row>11</xdr:row>
      <xdr:rowOff>60960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ED6BA7A-D0C4-48ED-AFA6-13BD15561E6F}"/>
            </a:ext>
          </a:extLst>
        </xdr:cNvPr>
        <xdr:cNvSpPr/>
      </xdr:nvSpPr>
      <xdr:spPr>
        <a:xfrm>
          <a:off x="0" y="183642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April </a:t>
          </a:r>
        </a:p>
      </xdr:txBody>
    </xdr:sp>
    <xdr:clientData/>
  </xdr:twoCellAnchor>
  <xdr:twoCellAnchor>
    <xdr:from>
      <xdr:col>0</xdr:col>
      <xdr:colOff>0</xdr:colOff>
      <xdr:row>11</xdr:row>
      <xdr:rowOff>121920</xdr:rowOff>
    </xdr:from>
    <xdr:to>
      <xdr:col>2</xdr:col>
      <xdr:colOff>464820</xdr:colOff>
      <xdr:row>13</xdr:row>
      <xdr:rowOff>60960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4F3326B-00EE-455D-994A-92A4D55D9918}"/>
            </a:ext>
          </a:extLst>
        </xdr:cNvPr>
        <xdr:cNvSpPr/>
      </xdr:nvSpPr>
      <xdr:spPr>
        <a:xfrm>
          <a:off x="0" y="220218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May </a:t>
          </a:r>
        </a:p>
      </xdr:txBody>
    </xdr:sp>
    <xdr:clientData/>
  </xdr:twoCellAnchor>
  <xdr:twoCellAnchor>
    <xdr:from>
      <xdr:col>0</xdr:col>
      <xdr:colOff>0</xdr:colOff>
      <xdr:row>23</xdr:row>
      <xdr:rowOff>167640</xdr:rowOff>
    </xdr:from>
    <xdr:to>
      <xdr:col>2</xdr:col>
      <xdr:colOff>464820</xdr:colOff>
      <xdr:row>25</xdr:row>
      <xdr:rowOff>106680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1FD9277-3C00-4183-9F33-741C32B4D4E8}"/>
            </a:ext>
          </a:extLst>
        </xdr:cNvPr>
        <xdr:cNvSpPr/>
      </xdr:nvSpPr>
      <xdr:spPr>
        <a:xfrm>
          <a:off x="0" y="444246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November </a:t>
          </a:r>
        </a:p>
      </xdr:txBody>
    </xdr:sp>
    <xdr:clientData/>
  </xdr:twoCellAnchor>
  <xdr:twoCellAnchor>
    <xdr:from>
      <xdr:col>0</xdr:col>
      <xdr:colOff>0</xdr:colOff>
      <xdr:row>25</xdr:row>
      <xdr:rowOff>175260</xdr:rowOff>
    </xdr:from>
    <xdr:to>
      <xdr:col>2</xdr:col>
      <xdr:colOff>464820</xdr:colOff>
      <xdr:row>27</xdr:row>
      <xdr:rowOff>114300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C2BAE3D-E406-41C2-8288-440DB8E62C96}"/>
            </a:ext>
          </a:extLst>
        </xdr:cNvPr>
        <xdr:cNvSpPr/>
      </xdr:nvSpPr>
      <xdr:spPr>
        <a:xfrm>
          <a:off x="0" y="481584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December </a:t>
          </a:r>
        </a:p>
      </xdr:txBody>
    </xdr:sp>
    <xdr:clientData/>
  </xdr:twoCellAnchor>
  <xdr:twoCellAnchor>
    <xdr:from>
      <xdr:col>0</xdr:col>
      <xdr:colOff>0</xdr:colOff>
      <xdr:row>13</xdr:row>
      <xdr:rowOff>121920</xdr:rowOff>
    </xdr:from>
    <xdr:to>
      <xdr:col>2</xdr:col>
      <xdr:colOff>464820</xdr:colOff>
      <xdr:row>15</xdr:row>
      <xdr:rowOff>60960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C33CD18-56FE-41D3-9C69-96C126CC83D0}"/>
            </a:ext>
          </a:extLst>
        </xdr:cNvPr>
        <xdr:cNvSpPr/>
      </xdr:nvSpPr>
      <xdr:spPr>
        <a:xfrm>
          <a:off x="0" y="256794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bg1"/>
              </a:solidFill>
            </a:rPr>
            <a:t>June</a:t>
          </a:r>
          <a:endParaRPr lang="en-US" sz="1200"/>
        </a:p>
      </xdr:txBody>
    </xdr:sp>
    <xdr:clientData/>
  </xdr:twoCellAnchor>
  <xdr:twoCellAnchor>
    <xdr:from>
      <xdr:col>0</xdr:col>
      <xdr:colOff>0</xdr:colOff>
      <xdr:row>15</xdr:row>
      <xdr:rowOff>129540</xdr:rowOff>
    </xdr:from>
    <xdr:to>
      <xdr:col>2</xdr:col>
      <xdr:colOff>464820</xdr:colOff>
      <xdr:row>17</xdr:row>
      <xdr:rowOff>68580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9D459EC-6F99-47BE-8FC5-DEA3B2F19F70}"/>
            </a:ext>
          </a:extLst>
        </xdr:cNvPr>
        <xdr:cNvSpPr/>
      </xdr:nvSpPr>
      <xdr:spPr>
        <a:xfrm>
          <a:off x="0" y="294132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July</a:t>
          </a:r>
        </a:p>
      </xdr:txBody>
    </xdr:sp>
    <xdr:clientData/>
  </xdr:twoCellAnchor>
  <xdr:twoCellAnchor>
    <xdr:from>
      <xdr:col>0</xdr:col>
      <xdr:colOff>419100</xdr:colOff>
      <xdr:row>17</xdr:row>
      <xdr:rowOff>129540</xdr:rowOff>
    </xdr:from>
    <xdr:to>
      <xdr:col>3</xdr:col>
      <xdr:colOff>274320</xdr:colOff>
      <xdr:row>19</xdr:row>
      <xdr:rowOff>68580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3B23D02-04C5-4B51-98D7-A8F5DAC3DF22}"/>
            </a:ext>
          </a:extLst>
        </xdr:cNvPr>
        <xdr:cNvSpPr/>
      </xdr:nvSpPr>
      <xdr:spPr>
        <a:xfrm>
          <a:off x="419100" y="3307080"/>
          <a:ext cx="1684020" cy="3048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tx1"/>
              </a:solidFill>
              <a:latin typeface="+mn-lt"/>
              <a:ea typeface="+mn-ea"/>
              <a:cs typeface="+mn-cs"/>
            </a:rPr>
            <a:t>August</a:t>
          </a:r>
        </a:p>
      </xdr:txBody>
    </xdr:sp>
    <xdr:clientData/>
  </xdr:twoCellAnchor>
  <xdr:twoCellAnchor>
    <xdr:from>
      <xdr:col>0</xdr:col>
      <xdr:colOff>0</xdr:colOff>
      <xdr:row>19</xdr:row>
      <xdr:rowOff>144780</xdr:rowOff>
    </xdr:from>
    <xdr:to>
      <xdr:col>2</xdr:col>
      <xdr:colOff>464820</xdr:colOff>
      <xdr:row>21</xdr:row>
      <xdr:rowOff>83820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14B149C8-C18C-41E0-8797-49CD0E9C21F7}"/>
            </a:ext>
          </a:extLst>
        </xdr:cNvPr>
        <xdr:cNvSpPr/>
      </xdr:nvSpPr>
      <xdr:spPr>
        <a:xfrm>
          <a:off x="0" y="368808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September</a:t>
          </a:r>
        </a:p>
      </xdr:txBody>
    </xdr:sp>
    <xdr:clientData/>
  </xdr:twoCellAnchor>
  <xdr:twoCellAnchor>
    <xdr:from>
      <xdr:col>0</xdr:col>
      <xdr:colOff>0</xdr:colOff>
      <xdr:row>21</xdr:row>
      <xdr:rowOff>152400</xdr:rowOff>
    </xdr:from>
    <xdr:to>
      <xdr:col>2</xdr:col>
      <xdr:colOff>464820</xdr:colOff>
      <xdr:row>23</xdr:row>
      <xdr:rowOff>91440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732DDCC4-C8A1-43F7-BC82-34DBAFEE3948}"/>
            </a:ext>
          </a:extLst>
        </xdr:cNvPr>
        <xdr:cNvSpPr/>
      </xdr:nvSpPr>
      <xdr:spPr>
        <a:xfrm>
          <a:off x="0" y="406146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October</a:t>
          </a:r>
        </a:p>
      </xdr:txBody>
    </xdr:sp>
    <xdr:clientData/>
  </xdr:twoCellAnchor>
  <xdr:twoCellAnchor>
    <xdr:from>
      <xdr:col>42</xdr:col>
      <xdr:colOff>11723</xdr:colOff>
      <xdr:row>0</xdr:row>
      <xdr:rowOff>0</xdr:rowOff>
    </xdr:from>
    <xdr:to>
      <xdr:col>56</xdr:col>
      <xdr:colOff>730250</xdr:colOff>
      <xdr:row>2</xdr:row>
      <xdr:rowOff>175847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AB83AF74-9B04-4F69-B923-E8B3CDFBD658}"/>
            </a:ext>
          </a:extLst>
        </xdr:cNvPr>
        <xdr:cNvSpPr/>
      </xdr:nvSpPr>
      <xdr:spPr>
        <a:xfrm>
          <a:off x="16470923" y="0"/>
          <a:ext cx="11630367" cy="541607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  <a:prstDash val="solid"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3600" b="1">
              <a:solidFill>
                <a:schemeClr val="tx1"/>
              </a:solidFill>
              <a:latin typeface="Aparajita" panose="02020603050405020304" pitchFamily="18" charset="0"/>
              <a:cs typeface="Aparajita" panose="02020603050405020304" pitchFamily="18" charset="0"/>
            </a:rPr>
            <a:t>Monthly  Report</a:t>
          </a:r>
        </a:p>
      </xdr:txBody>
    </xdr:sp>
    <xdr:clientData/>
  </xdr:twoCellAnchor>
  <xdr:twoCellAnchor>
    <xdr:from>
      <xdr:col>6</xdr:col>
      <xdr:colOff>396876</xdr:colOff>
      <xdr:row>0</xdr:row>
      <xdr:rowOff>126999</xdr:rowOff>
    </xdr:from>
    <xdr:to>
      <xdr:col>7</xdr:col>
      <xdr:colOff>474042</xdr:colOff>
      <xdr:row>2</xdr:row>
      <xdr:rowOff>39687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4FD498CB-9DFF-4462-A298-30CB1C189CC1}"/>
            </a:ext>
          </a:extLst>
        </xdr:cNvPr>
        <xdr:cNvSpPr/>
      </xdr:nvSpPr>
      <xdr:spPr>
        <a:xfrm>
          <a:off x="3879216" y="126999"/>
          <a:ext cx="1060146" cy="278448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To</a:t>
          </a:r>
        </a:p>
      </xdr:txBody>
    </xdr:sp>
    <xdr:clientData/>
  </xdr:twoCellAnchor>
  <xdr:twoCellAnchor>
    <xdr:from>
      <xdr:col>7</xdr:col>
      <xdr:colOff>461964</xdr:colOff>
      <xdr:row>0</xdr:row>
      <xdr:rowOff>128585</xdr:rowOff>
    </xdr:from>
    <xdr:to>
      <xdr:col>8</xdr:col>
      <xdr:colOff>500064</xdr:colOff>
      <xdr:row>2</xdr:row>
      <xdr:rowOff>39137</xdr:rowOff>
    </xdr:to>
    <xdr:sp macro="" textlink="$J$5">
      <xdr:nvSpPr>
        <xdr:cNvPr id="18" name="Rectangle 17">
          <a:extLst>
            <a:ext uri="{FF2B5EF4-FFF2-40B4-BE49-F238E27FC236}">
              <a16:creationId xmlns:a16="http://schemas.microsoft.com/office/drawing/2014/main" id="{043DA98F-4D15-4915-A4A0-90793729B989}"/>
            </a:ext>
          </a:extLst>
        </xdr:cNvPr>
        <xdr:cNvSpPr/>
      </xdr:nvSpPr>
      <xdr:spPr>
        <a:xfrm>
          <a:off x="4927284" y="128585"/>
          <a:ext cx="1325880" cy="27631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EDA3192-0DC9-41BE-8537-F40AE859E52F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31-Aug-2025</a:t>
          </a:fld>
          <a:endParaRPr lang="en-US" sz="1200" b="1"/>
        </a:p>
      </xdr:txBody>
    </xdr:sp>
    <xdr:clientData/>
  </xdr:twoCellAnchor>
  <xdr:twoCellAnchor>
    <xdr:from>
      <xdr:col>2</xdr:col>
      <xdr:colOff>39688</xdr:colOff>
      <xdr:row>0</xdr:row>
      <xdr:rowOff>142875</xdr:rowOff>
    </xdr:from>
    <xdr:to>
      <xdr:col>3</xdr:col>
      <xdr:colOff>481979</xdr:colOff>
      <xdr:row>2</xdr:row>
      <xdr:rowOff>55563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485D448F-D43D-4D51-8B5D-44B1B3CA7A07}"/>
            </a:ext>
          </a:extLst>
        </xdr:cNvPr>
        <xdr:cNvSpPr/>
      </xdr:nvSpPr>
      <xdr:spPr>
        <a:xfrm>
          <a:off x="1258888" y="142875"/>
          <a:ext cx="1051891" cy="278448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From</a:t>
          </a:r>
        </a:p>
      </xdr:txBody>
    </xdr:sp>
    <xdr:clientData/>
  </xdr:twoCellAnchor>
  <xdr:twoCellAnchor>
    <xdr:from>
      <xdr:col>3</xdr:col>
      <xdr:colOff>493713</xdr:colOff>
      <xdr:row>0</xdr:row>
      <xdr:rowOff>144461</xdr:rowOff>
    </xdr:from>
    <xdr:to>
      <xdr:col>6</xdr:col>
      <xdr:colOff>150813</xdr:colOff>
      <xdr:row>2</xdr:row>
      <xdr:rowOff>55013</xdr:rowOff>
    </xdr:to>
    <xdr:sp macro="" textlink="$G$5">
      <xdr:nvSpPr>
        <xdr:cNvPr id="20" name="Rectangle 19">
          <a:extLst>
            <a:ext uri="{FF2B5EF4-FFF2-40B4-BE49-F238E27FC236}">
              <a16:creationId xmlns:a16="http://schemas.microsoft.com/office/drawing/2014/main" id="{FC8BE60D-018E-484C-A2DC-74419162E2EB}"/>
            </a:ext>
          </a:extLst>
        </xdr:cNvPr>
        <xdr:cNvSpPr/>
      </xdr:nvSpPr>
      <xdr:spPr>
        <a:xfrm>
          <a:off x="2322513" y="144461"/>
          <a:ext cx="1310640" cy="27631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7D7D287-93FA-4632-B81E-C1A385C8653B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01-Aug-2025</a:t>
          </a:fld>
          <a:endParaRPr lang="en-US" sz="1200" b="1"/>
        </a:p>
      </xdr:txBody>
    </xdr:sp>
    <xdr:clientData/>
  </xdr:twoCellAnchor>
  <xdr:twoCellAnchor>
    <xdr:from>
      <xdr:col>10</xdr:col>
      <xdr:colOff>129540</xdr:colOff>
      <xdr:row>0</xdr:row>
      <xdr:rowOff>99060</xdr:rowOff>
    </xdr:from>
    <xdr:to>
      <xdr:col>24</xdr:col>
      <xdr:colOff>53340</xdr:colOff>
      <xdr:row>2</xdr:row>
      <xdr:rowOff>45720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A029171-4AF2-4C03-97D0-3D79E95F03DF}"/>
            </a:ext>
          </a:extLst>
        </xdr:cNvPr>
        <xdr:cNvSpPr/>
      </xdr:nvSpPr>
      <xdr:spPr>
        <a:xfrm>
          <a:off x="6987540" y="99060"/>
          <a:ext cx="3855720" cy="31242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152400</xdr:colOff>
      <xdr:row>0</xdr:row>
      <xdr:rowOff>91440</xdr:rowOff>
    </xdr:from>
    <xdr:to>
      <xdr:col>22</xdr:col>
      <xdr:colOff>91440</xdr:colOff>
      <xdr:row>2</xdr:row>
      <xdr:rowOff>76200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872E2EB0-B53B-45A2-89BE-1D0A5D5B512C}"/>
            </a:ext>
          </a:extLst>
        </xdr:cNvPr>
        <xdr:cNvSpPr/>
      </xdr:nvSpPr>
      <xdr:spPr>
        <a:xfrm>
          <a:off x="7284720" y="91440"/>
          <a:ext cx="2994660" cy="3505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chemeClr val="tx1"/>
              </a:solidFill>
            </a:rPr>
            <a:t>Dashboard</a:t>
          </a:r>
          <a:r>
            <a:rPr lang="en-US" sz="1400" b="1" baseline="0">
              <a:solidFill>
                <a:schemeClr val="tx1"/>
              </a:solidFill>
            </a:rPr>
            <a:t> For The Month Of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10</xdr:col>
      <xdr:colOff>121920</xdr:colOff>
      <xdr:row>0</xdr:row>
      <xdr:rowOff>106680</xdr:rowOff>
    </xdr:from>
    <xdr:to>
      <xdr:col>11</xdr:col>
      <xdr:colOff>176231</xdr:colOff>
      <xdr:row>2</xdr:row>
      <xdr:rowOff>36594</xdr:rowOff>
    </xdr:to>
    <xdr:pic>
      <xdr:nvPicPr>
        <xdr:cNvPr id="23" name="Graphic 22" descr="Research with solid fill">
          <a:extLst>
            <a:ext uri="{FF2B5EF4-FFF2-40B4-BE49-F238E27FC236}">
              <a16:creationId xmlns:a16="http://schemas.microsoft.com/office/drawing/2014/main" id="{B6AF5A41-451A-4C3B-8BAE-D5222F678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6979920" y="106680"/>
          <a:ext cx="328631" cy="295674"/>
        </a:xfrm>
        <a:prstGeom prst="rect">
          <a:avLst/>
        </a:prstGeom>
      </xdr:spPr>
    </xdr:pic>
    <xdr:clientData/>
  </xdr:twoCellAnchor>
  <xdr:twoCellAnchor>
    <xdr:from>
      <xdr:col>19</xdr:col>
      <xdr:colOff>167640</xdr:colOff>
      <xdr:row>0</xdr:row>
      <xdr:rowOff>60960</xdr:rowOff>
    </xdr:from>
    <xdr:to>
      <xdr:col>23</xdr:col>
      <xdr:colOff>228600</xdr:colOff>
      <xdr:row>2</xdr:row>
      <xdr:rowOff>45720</xdr:rowOff>
    </xdr:to>
    <xdr:sp macro="" textlink="$E$5">
      <xdr:nvSpPr>
        <xdr:cNvPr id="24" name="Rectangle: Rounded Corners 23">
          <a:extLst>
            <a:ext uri="{FF2B5EF4-FFF2-40B4-BE49-F238E27FC236}">
              <a16:creationId xmlns:a16="http://schemas.microsoft.com/office/drawing/2014/main" id="{A6CBC2FB-7DB4-419E-B637-9DF0D4C445C6}"/>
            </a:ext>
          </a:extLst>
        </xdr:cNvPr>
        <xdr:cNvSpPr/>
      </xdr:nvSpPr>
      <xdr:spPr>
        <a:xfrm>
          <a:off x="9517380" y="60960"/>
          <a:ext cx="1173480" cy="3505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B9C85A59-FB1C-438C-92E4-56515B55565E}" type="TxLink">
            <a:rPr lang="en-US" sz="1600" b="1" i="0" u="none" strike="noStrike">
              <a:solidFill>
                <a:schemeClr val="accent2"/>
              </a:solidFill>
              <a:latin typeface="Calibri"/>
              <a:ea typeface="Calibri"/>
              <a:cs typeface="Calibri"/>
            </a:rPr>
            <a:pPr algn="l"/>
            <a:t>August</a:t>
          </a:fld>
          <a:endParaRPr lang="en-US" sz="1600" b="1">
            <a:solidFill>
              <a:schemeClr val="accent2"/>
            </a:solidFill>
          </a:endParaRPr>
        </a:p>
      </xdr:txBody>
    </xdr:sp>
    <xdr:clientData/>
  </xdr:twoCellAnchor>
  <xdr:twoCellAnchor>
    <xdr:from>
      <xdr:col>27</xdr:col>
      <xdr:colOff>60960</xdr:colOff>
      <xdr:row>0</xdr:row>
      <xdr:rowOff>91440</xdr:rowOff>
    </xdr:from>
    <xdr:to>
      <xdr:col>29</xdr:col>
      <xdr:colOff>53340</xdr:colOff>
      <xdr:row>2</xdr:row>
      <xdr:rowOff>7620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E8F5DC7F-E3D7-4938-A05C-604F4050D994}"/>
            </a:ext>
          </a:extLst>
        </xdr:cNvPr>
        <xdr:cNvSpPr/>
      </xdr:nvSpPr>
      <xdr:spPr>
        <a:xfrm>
          <a:off x="11605260" y="914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🟢</a:t>
          </a:r>
        </a:p>
      </xdr:txBody>
    </xdr:sp>
    <xdr:clientData/>
  </xdr:twoCellAnchor>
  <xdr:twoCellAnchor>
    <xdr:from>
      <xdr:col>27</xdr:col>
      <xdr:colOff>23497</xdr:colOff>
      <xdr:row>0</xdr:row>
      <xdr:rowOff>67625</xdr:rowOff>
    </xdr:from>
    <xdr:to>
      <xdr:col>31</xdr:col>
      <xdr:colOff>145417</xdr:colOff>
      <xdr:row>1</xdr:row>
      <xdr:rowOff>161057</xdr:rowOff>
    </xdr:to>
    <xdr:sp macro="" textlink="$J$5">
      <xdr:nvSpPr>
        <xdr:cNvPr id="26" name="Rectangle 25">
          <a:extLst>
            <a:ext uri="{FF2B5EF4-FFF2-40B4-BE49-F238E27FC236}">
              <a16:creationId xmlns:a16="http://schemas.microsoft.com/office/drawing/2014/main" id="{215FAC09-E581-4404-9869-E76CE4ACA234}"/>
            </a:ext>
          </a:extLst>
        </xdr:cNvPr>
        <xdr:cNvSpPr/>
      </xdr:nvSpPr>
      <xdr:spPr>
        <a:xfrm>
          <a:off x="11567797" y="6762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Present</a:t>
          </a:r>
        </a:p>
      </xdr:txBody>
    </xdr:sp>
    <xdr:clientData/>
  </xdr:twoCellAnchor>
  <xdr:twoCellAnchor>
    <xdr:from>
      <xdr:col>27</xdr:col>
      <xdr:colOff>213360</xdr:colOff>
      <xdr:row>1</xdr:row>
      <xdr:rowOff>60960</xdr:rowOff>
    </xdr:from>
    <xdr:to>
      <xdr:col>29</xdr:col>
      <xdr:colOff>205740</xdr:colOff>
      <xdr:row>2</xdr:row>
      <xdr:rowOff>160020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DD8F4DB9-8C6F-487B-B1AF-FB71315F889A}"/>
            </a:ext>
          </a:extLst>
        </xdr:cNvPr>
        <xdr:cNvSpPr/>
      </xdr:nvSpPr>
      <xdr:spPr>
        <a:xfrm>
          <a:off x="11757660" y="2438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900"/>
        </a:p>
      </xdr:txBody>
    </xdr:sp>
    <xdr:clientData/>
  </xdr:twoCellAnchor>
  <xdr:twoCellAnchor>
    <xdr:from>
      <xdr:col>34</xdr:col>
      <xdr:colOff>7620</xdr:colOff>
      <xdr:row>0</xdr:row>
      <xdr:rowOff>106680</xdr:rowOff>
    </xdr:from>
    <xdr:to>
      <xdr:col>36</xdr:col>
      <xdr:colOff>0</xdr:colOff>
      <xdr:row>2</xdr:row>
      <xdr:rowOff>22860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4E419BAC-0042-47A0-B111-2830F433AEDD}"/>
            </a:ext>
          </a:extLst>
        </xdr:cNvPr>
        <xdr:cNvSpPr/>
      </xdr:nvSpPr>
      <xdr:spPr>
        <a:xfrm>
          <a:off x="13540740" y="10668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>
              <a:solidFill>
                <a:schemeClr val="accent2"/>
              </a:solidFill>
            </a:rPr>
            <a:t>.🟡</a:t>
          </a:r>
        </a:p>
      </xdr:txBody>
    </xdr:sp>
    <xdr:clientData/>
  </xdr:twoCellAnchor>
  <xdr:twoCellAnchor>
    <xdr:from>
      <xdr:col>33</xdr:col>
      <xdr:colOff>213997</xdr:colOff>
      <xdr:row>0</xdr:row>
      <xdr:rowOff>82865</xdr:rowOff>
    </xdr:from>
    <xdr:to>
      <xdr:col>38</xdr:col>
      <xdr:colOff>92077</xdr:colOff>
      <xdr:row>1</xdr:row>
      <xdr:rowOff>176297</xdr:rowOff>
    </xdr:to>
    <xdr:sp macro="" textlink="$J$5">
      <xdr:nvSpPr>
        <xdr:cNvPr id="29" name="Rectangle 28">
          <a:extLst>
            <a:ext uri="{FF2B5EF4-FFF2-40B4-BE49-F238E27FC236}">
              <a16:creationId xmlns:a16="http://schemas.microsoft.com/office/drawing/2014/main" id="{536F1F90-95F4-41F2-849E-09DF454426B8}"/>
            </a:ext>
          </a:extLst>
        </xdr:cNvPr>
        <xdr:cNvSpPr/>
      </xdr:nvSpPr>
      <xdr:spPr>
        <a:xfrm>
          <a:off x="13503277" y="8286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Leave</a:t>
          </a:r>
        </a:p>
      </xdr:txBody>
    </xdr:sp>
    <xdr:clientData/>
  </xdr:twoCellAnchor>
  <xdr:twoCellAnchor>
    <xdr:from>
      <xdr:col>30</xdr:col>
      <xdr:colOff>167640</xdr:colOff>
      <xdr:row>0</xdr:row>
      <xdr:rowOff>91440</xdr:rowOff>
    </xdr:from>
    <xdr:to>
      <xdr:col>32</xdr:col>
      <xdr:colOff>152400</xdr:colOff>
      <xdr:row>2</xdr:row>
      <xdr:rowOff>7620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C8638736-E451-48B5-ADFD-275A726BD1DC}"/>
            </a:ext>
          </a:extLst>
        </xdr:cNvPr>
        <xdr:cNvSpPr/>
      </xdr:nvSpPr>
      <xdr:spPr>
        <a:xfrm>
          <a:off x="12580620" y="914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🔴</a:t>
          </a:r>
        </a:p>
      </xdr:txBody>
    </xdr:sp>
    <xdr:clientData/>
  </xdr:twoCellAnchor>
  <xdr:twoCellAnchor>
    <xdr:from>
      <xdr:col>30</xdr:col>
      <xdr:colOff>99697</xdr:colOff>
      <xdr:row>0</xdr:row>
      <xdr:rowOff>82865</xdr:rowOff>
    </xdr:from>
    <xdr:to>
      <xdr:col>35</xdr:col>
      <xdr:colOff>31117</xdr:colOff>
      <xdr:row>1</xdr:row>
      <xdr:rowOff>176297</xdr:rowOff>
    </xdr:to>
    <xdr:sp macro="" textlink="$J$5">
      <xdr:nvSpPr>
        <xdr:cNvPr id="31" name="Rectangle 30">
          <a:extLst>
            <a:ext uri="{FF2B5EF4-FFF2-40B4-BE49-F238E27FC236}">
              <a16:creationId xmlns:a16="http://schemas.microsoft.com/office/drawing/2014/main" id="{350E0A31-2033-44B2-BDB2-225B1388690C}"/>
            </a:ext>
          </a:extLst>
        </xdr:cNvPr>
        <xdr:cNvSpPr/>
      </xdr:nvSpPr>
      <xdr:spPr>
        <a:xfrm>
          <a:off x="12512677" y="8286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Absent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0</xdr:rowOff>
    </xdr:from>
    <xdr:to>
      <xdr:col>41</xdr:col>
      <xdr:colOff>45720</xdr:colOff>
      <xdr:row>2</xdr:row>
      <xdr:rowOff>162365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4962819-DBDB-4914-838D-C179AE2EB9BF}"/>
            </a:ext>
          </a:extLst>
        </xdr:cNvPr>
        <xdr:cNvSpPr/>
      </xdr:nvSpPr>
      <xdr:spPr>
        <a:xfrm>
          <a:off x="1257300" y="0"/>
          <a:ext cx="14638020" cy="52812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45719</xdr:colOff>
      <xdr:row>33</xdr:row>
      <xdr:rowOff>160020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76A6BCF-C15E-4E19-86CF-5A281F5F0F07}"/>
            </a:ext>
          </a:extLst>
        </xdr:cNvPr>
        <xdr:cNvSpPr/>
      </xdr:nvSpPr>
      <xdr:spPr>
        <a:xfrm flipH="1" flipV="1">
          <a:off x="0" y="0"/>
          <a:ext cx="1264919" cy="6271260"/>
        </a:xfrm>
        <a:prstGeom prst="rect">
          <a:avLst/>
        </a:prstGeom>
        <a:solidFill>
          <a:schemeClr val="tx1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3</xdr:row>
      <xdr:rowOff>152400</xdr:rowOff>
    </xdr:from>
    <xdr:to>
      <xdr:col>2</xdr:col>
      <xdr:colOff>464820</xdr:colOff>
      <xdr:row>5</xdr:row>
      <xdr:rowOff>91440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3F5EAD-47D4-4D5E-A955-E48CE596D79A}"/>
            </a:ext>
          </a:extLst>
        </xdr:cNvPr>
        <xdr:cNvSpPr/>
      </xdr:nvSpPr>
      <xdr:spPr>
        <a:xfrm>
          <a:off x="0" y="70104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January </a:t>
          </a:r>
        </a:p>
      </xdr:txBody>
    </xdr:sp>
    <xdr:clientData/>
  </xdr:twoCellAnchor>
  <xdr:twoCellAnchor>
    <xdr:from>
      <xdr:col>0</xdr:col>
      <xdr:colOff>0</xdr:colOff>
      <xdr:row>5</xdr:row>
      <xdr:rowOff>144780</xdr:rowOff>
    </xdr:from>
    <xdr:to>
      <xdr:col>2</xdr:col>
      <xdr:colOff>464820</xdr:colOff>
      <xdr:row>7</xdr:row>
      <xdr:rowOff>76200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67729E-1622-40F2-AA28-637177936A2B}"/>
            </a:ext>
          </a:extLst>
        </xdr:cNvPr>
        <xdr:cNvSpPr/>
      </xdr:nvSpPr>
      <xdr:spPr>
        <a:xfrm>
          <a:off x="0" y="1059180"/>
          <a:ext cx="1684020" cy="31242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bg1"/>
              </a:solidFill>
            </a:rPr>
            <a:t>February</a:t>
          </a:r>
          <a:r>
            <a:rPr lang="en-US" sz="1200"/>
            <a:t> </a:t>
          </a:r>
        </a:p>
      </xdr:txBody>
    </xdr:sp>
    <xdr:clientData/>
  </xdr:twoCellAnchor>
  <xdr:twoCellAnchor>
    <xdr:from>
      <xdr:col>0</xdr:col>
      <xdr:colOff>0</xdr:colOff>
      <xdr:row>7</xdr:row>
      <xdr:rowOff>137160</xdr:rowOff>
    </xdr:from>
    <xdr:to>
      <xdr:col>2</xdr:col>
      <xdr:colOff>464820</xdr:colOff>
      <xdr:row>9</xdr:row>
      <xdr:rowOff>76200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9ED7DBA-009B-436D-8ABD-61A8EF33C4D5}"/>
            </a:ext>
          </a:extLst>
        </xdr:cNvPr>
        <xdr:cNvSpPr/>
      </xdr:nvSpPr>
      <xdr:spPr>
        <a:xfrm>
          <a:off x="0" y="1432560"/>
          <a:ext cx="1684020" cy="35814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March</a:t>
          </a:r>
        </a:p>
      </xdr:txBody>
    </xdr:sp>
    <xdr:clientData/>
  </xdr:twoCellAnchor>
  <xdr:twoCellAnchor>
    <xdr:from>
      <xdr:col>0</xdr:col>
      <xdr:colOff>0</xdr:colOff>
      <xdr:row>9</xdr:row>
      <xdr:rowOff>121920</xdr:rowOff>
    </xdr:from>
    <xdr:to>
      <xdr:col>2</xdr:col>
      <xdr:colOff>464820</xdr:colOff>
      <xdr:row>11</xdr:row>
      <xdr:rowOff>60960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13BDAEF-7862-45B9-A1F7-7303AA23783F}"/>
            </a:ext>
          </a:extLst>
        </xdr:cNvPr>
        <xdr:cNvSpPr/>
      </xdr:nvSpPr>
      <xdr:spPr>
        <a:xfrm>
          <a:off x="0" y="183642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April </a:t>
          </a:r>
        </a:p>
      </xdr:txBody>
    </xdr:sp>
    <xdr:clientData/>
  </xdr:twoCellAnchor>
  <xdr:twoCellAnchor>
    <xdr:from>
      <xdr:col>0</xdr:col>
      <xdr:colOff>0</xdr:colOff>
      <xdr:row>11</xdr:row>
      <xdr:rowOff>121920</xdr:rowOff>
    </xdr:from>
    <xdr:to>
      <xdr:col>2</xdr:col>
      <xdr:colOff>464820</xdr:colOff>
      <xdr:row>13</xdr:row>
      <xdr:rowOff>60960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BFD55ED-22D6-406A-AD6C-6ABC0EFB6F5C}"/>
            </a:ext>
          </a:extLst>
        </xdr:cNvPr>
        <xdr:cNvSpPr/>
      </xdr:nvSpPr>
      <xdr:spPr>
        <a:xfrm>
          <a:off x="0" y="220218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May </a:t>
          </a:r>
        </a:p>
      </xdr:txBody>
    </xdr:sp>
    <xdr:clientData/>
  </xdr:twoCellAnchor>
  <xdr:twoCellAnchor>
    <xdr:from>
      <xdr:col>0</xdr:col>
      <xdr:colOff>0</xdr:colOff>
      <xdr:row>23</xdr:row>
      <xdr:rowOff>167640</xdr:rowOff>
    </xdr:from>
    <xdr:to>
      <xdr:col>2</xdr:col>
      <xdr:colOff>464820</xdr:colOff>
      <xdr:row>25</xdr:row>
      <xdr:rowOff>106680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3B3214D-18F4-4C53-B37F-3E8A334ED202}"/>
            </a:ext>
          </a:extLst>
        </xdr:cNvPr>
        <xdr:cNvSpPr/>
      </xdr:nvSpPr>
      <xdr:spPr>
        <a:xfrm>
          <a:off x="0" y="444246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November </a:t>
          </a:r>
        </a:p>
      </xdr:txBody>
    </xdr:sp>
    <xdr:clientData/>
  </xdr:twoCellAnchor>
  <xdr:twoCellAnchor>
    <xdr:from>
      <xdr:col>0</xdr:col>
      <xdr:colOff>0</xdr:colOff>
      <xdr:row>25</xdr:row>
      <xdr:rowOff>175260</xdr:rowOff>
    </xdr:from>
    <xdr:to>
      <xdr:col>2</xdr:col>
      <xdr:colOff>464820</xdr:colOff>
      <xdr:row>27</xdr:row>
      <xdr:rowOff>114300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EC11783-B667-4FD7-9F37-C219C89EA992}"/>
            </a:ext>
          </a:extLst>
        </xdr:cNvPr>
        <xdr:cNvSpPr/>
      </xdr:nvSpPr>
      <xdr:spPr>
        <a:xfrm>
          <a:off x="0" y="481584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December </a:t>
          </a:r>
        </a:p>
      </xdr:txBody>
    </xdr:sp>
    <xdr:clientData/>
  </xdr:twoCellAnchor>
  <xdr:twoCellAnchor>
    <xdr:from>
      <xdr:col>0</xdr:col>
      <xdr:colOff>0</xdr:colOff>
      <xdr:row>13</xdr:row>
      <xdr:rowOff>121920</xdr:rowOff>
    </xdr:from>
    <xdr:to>
      <xdr:col>2</xdr:col>
      <xdr:colOff>464820</xdr:colOff>
      <xdr:row>15</xdr:row>
      <xdr:rowOff>60960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0337C1B-8F66-4640-ABD8-F4CBF2516A27}"/>
            </a:ext>
          </a:extLst>
        </xdr:cNvPr>
        <xdr:cNvSpPr/>
      </xdr:nvSpPr>
      <xdr:spPr>
        <a:xfrm>
          <a:off x="0" y="256794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bg1"/>
              </a:solidFill>
            </a:rPr>
            <a:t>June</a:t>
          </a:r>
          <a:endParaRPr lang="en-US" sz="1200"/>
        </a:p>
      </xdr:txBody>
    </xdr:sp>
    <xdr:clientData/>
  </xdr:twoCellAnchor>
  <xdr:twoCellAnchor>
    <xdr:from>
      <xdr:col>0</xdr:col>
      <xdr:colOff>0</xdr:colOff>
      <xdr:row>15</xdr:row>
      <xdr:rowOff>129540</xdr:rowOff>
    </xdr:from>
    <xdr:to>
      <xdr:col>2</xdr:col>
      <xdr:colOff>464820</xdr:colOff>
      <xdr:row>17</xdr:row>
      <xdr:rowOff>68580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19918CB-5EC1-4AAF-BF95-0EF949C68704}"/>
            </a:ext>
          </a:extLst>
        </xdr:cNvPr>
        <xdr:cNvSpPr/>
      </xdr:nvSpPr>
      <xdr:spPr>
        <a:xfrm>
          <a:off x="0" y="294132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July</a:t>
          </a:r>
        </a:p>
      </xdr:txBody>
    </xdr:sp>
    <xdr:clientData/>
  </xdr:twoCellAnchor>
  <xdr:twoCellAnchor>
    <xdr:from>
      <xdr:col>0</xdr:col>
      <xdr:colOff>0</xdr:colOff>
      <xdr:row>17</xdr:row>
      <xdr:rowOff>137160</xdr:rowOff>
    </xdr:from>
    <xdr:to>
      <xdr:col>2</xdr:col>
      <xdr:colOff>464820</xdr:colOff>
      <xdr:row>19</xdr:row>
      <xdr:rowOff>76200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4AAD1CF-59F0-4463-BB37-670C2FC2CF71}"/>
            </a:ext>
          </a:extLst>
        </xdr:cNvPr>
        <xdr:cNvSpPr/>
      </xdr:nvSpPr>
      <xdr:spPr>
        <a:xfrm>
          <a:off x="0" y="331470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August</a:t>
          </a:r>
        </a:p>
      </xdr:txBody>
    </xdr:sp>
    <xdr:clientData/>
  </xdr:twoCellAnchor>
  <xdr:twoCellAnchor>
    <xdr:from>
      <xdr:col>0</xdr:col>
      <xdr:colOff>441960</xdr:colOff>
      <xdr:row>19</xdr:row>
      <xdr:rowOff>144780</xdr:rowOff>
    </xdr:from>
    <xdr:to>
      <xdr:col>3</xdr:col>
      <xdr:colOff>297180</xdr:colOff>
      <xdr:row>21</xdr:row>
      <xdr:rowOff>83820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78ACB0E3-A653-4978-BDAD-0DA8A282CB28}"/>
            </a:ext>
          </a:extLst>
        </xdr:cNvPr>
        <xdr:cNvSpPr/>
      </xdr:nvSpPr>
      <xdr:spPr>
        <a:xfrm>
          <a:off x="441960" y="3688080"/>
          <a:ext cx="1684020" cy="3048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tx1"/>
              </a:solidFill>
              <a:latin typeface="+mn-lt"/>
              <a:ea typeface="+mn-ea"/>
              <a:cs typeface="+mn-cs"/>
            </a:rPr>
            <a:t>September</a:t>
          </a:r>
        </a:p>
      </xdr:txBody>
    </xdr:sp>
    <xdr:clientData/>
  </xdr:twoCellAnchor>
  <xdr:twoCellAnchor>
    <xdr:from>
      <xdr:col>0</xdr:col>
      <xdr:colOff>0</xdr:colOff>
      <xdr:row>21</xdr:row>
      <xdr:rowOff>152400</xdr:rowOff>
    </xdr:from>
    <xdr:to>
      <xdr:col>2</xdr:col>
      <xdr:colOff>464820</xdr:colOff>
      <xdr:row>23</xdr:row>
      <xdr:rowOff>91440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DADF517-7682-43A9-8331-25C9CA09E314}"/>
            </a:ext>
          </a:extLst>
        </xdr:cNvPr>
        <xdr:cNvSpPr/>
      </xdr:nvSpPr>
      <xdr:spPr>
        <a:xfrm>
          <a:off x="0" y="406146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October</a:t>
          </a:r>
        </a:p>
      </xdr:txBody>
    </xdr:sp>
    <xdr:clientData/>
  </xdr:twoCellAnchor>
  <xdr:twoCellAnchor>
    <xdr:from>
      <xdr:col>42</xdr:col>
      <xdr:colOff>11723</xdr:colOff>
      <xdr:row>0</xdr:row>
      <xdr:rowOff>0</xdr:rowOff>
    </xdr:from>
    <xdr:to>
      <xdr:col>56</xdr:col>
      <xdr:colOff>730250</xdr:colOff>
      <xdr:row>2</xdr:row>
      <xdr:rowOff>175847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4019073E-B55F-426F-8B7F-58354DB737A4}"/>
            </a:ext>
          </a:extLst>
        </xdr:cNvPr>
        <xdr:cNvSpPr/>
      </xdr:nvSpPr>
      <xdr:spPr>
        <a:xfrm>
          <a:off x="16470923" y="0"/>
          <a:ext cx="11630367" cy="541607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  <a:prstDash val="solid"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3600" b="1">
              <a:solidFill>
                <a:schemeClr val="tx1"/>
              </a:solidFill>
              <a:latin typeface="Aparajita" panose="02020603050405020304" pitchFamily="18" charset="0"/>
              <a:cs typeface="Aparajita" panose="02020603050405020304" pitchFamily="18" charset="0"/>
            </a:rPr>
            <a:t>Monthly  Report</a:t>
          </a:r>
        </a:p>
      </xdr:txBody>
    </xdr:sp>
    <xdr:clientData/>
  </xdr:twoCellAnchor>
  <xdr:twoCellAnchor>
    <xdr:from>
      <xdr:col>6</xdr:col>
      <xdr:colOff>396876</xdr:colOff>
      <xdr:row>0</xdr:row>
      <xdr:rowOff>126999</xdr:rowOff>
    </xdr:from>
    <xdr:to>
      <xdr:col>7</xdr:col>
      <xdr:colOff>474042</xdr:colOff>
      <xdr:row>2</xdr:row>
      <xdr:rowOff>39687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46CDECD4-D121-49B1-B6F5-44BE47DF8B9E}"/>
            </a:ext>
          </a:extLst>
        </xdr:cNvPr>
        <xdr:cNvSpPr/>
      </xdr:nvSpPr>
      <xdr:spPr>
        <a:xfrm>
          <a:off x="3879216" y="126999"/>
          <a:ext cx="1060146" cy="278448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To</a:t>
          </a:r>
        </a:p>
      </xdr:txBody>
    </xdr:sp>
    <xdr:clientData/>
  </xdr:twoCellAnchor>
  <xdr:twoCellAnchor>
    <xdr:from>
      <xdr:col>7</xdr:col>
      <xdr:colOff>461964</xdr:colOff>
      <xdr:row>0</xdr:row>
      <xdr:rowOff>128585</xdr:rowOff>
    </xdr:from>
    <xdr:to>
      <xdr:col>8</xdr:col>
      <xdr:colOff>500064</xdr:colOff>
      <xdr:row>2</xdr:row>
      <xdr:rowOff>39137</xdr:rowOff>
    </xdr:to>
    <xdr:sp macro="" textlink="$J$5">
      <xdr:nvSpPr>
        <xdr:cNvPr id="18" name="Rectangle 17">
          <a:extLst>
            <a:ext uri="{FF2B5EF4-FFF2-40B4-BE49-F238E27FC236}">
              <a16:creationId xmlns:a16="http://schemas.microsoft.com/office/drawing/2014/main" id="{336681B6-BA2C-4093-AD00-FC1AF63D9945}"/>
            </a:ext>
          </a:extLst>
        </xdr:cNvPr>
        <xdr:cNvSpPr/>
      </xdr:nvSpPr>
      <xdr:spPr>
        <a:xfrm>
          <a:off x="4927284" y="128585"/>
          <a:ext cx="1325880" cy="27631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EDA3192-0DC9-41BE-8537-F40AE859E52F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30-Sep-2025</a:t>
          </a:fld>
          <a:endParaRPr lang="en-US" sz="1200" b="1"/>
        </a:p>
      </xdr:txBody>
    </xdr:sp>
    <xdr:clientData/>
  </xdr:twoCellAnchor>
  <xdr:twoCellAnchor>
    <xdr:from>
      <xdr:col>2</xdr:col>
      <xdr:colOff>39688</xdr:colOff>
      <xdr:row>0</xdr:row>
      <xdr:rowOff>142875</xdr:rowOff>
    </xdr:from>
    <xdr:to>
      <xdr:col>3</xdr:col>
      <xdr:colOff>481979</xdr:colOff>
      <xdr:row>2</xdr:row>
      <xdr:rowOff>55563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2FDA40F0-DE64-4EFE-A87A-D12D1A217CB6}"/>
            </a:ext>
          </a:extLst>
        </xdr:cNvPr>
        <xdr:cNvSpPr/>
      </xdr:nvSpPr>
      <xdr:spPr>
        <a:xfrm>
          <a:off x="1258888" y="142875"/>
          <a:ext cx="1051891" cy="278448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From</a:t>
          </a:r>
        </a:p>
      </xdr:txBody>
    </xdr:sp>
    <xdr:clientData/>
  </xdr:twoCellAnchor>
  <xdr:twoCellAnchor>
    <xdr:from>
      <xdr:col>3</xdr:col>
      <xdr:colOff>493713</xdr:colOff>
      <xdr:row>0</xdr:row>
      <xdr:rowOff>144461</xdr:rowOff>
    </xdr:from>
    <xdr:to>
      <xdr:col>6</xdr:col>
      <xdr:colOff>150813</xdr:colOff>
      <xdr:row>2</xdr:row>
      <xdr:rowOff>55013</xdr:rowOff>
    </xdr:to>
    <xdr:sp macro="" textlink="$G$5">
      <xdr:nvSpPr>
        <xdr:cNvPr id="20" name="Rectangle 19">
          <a:extLst>
            <a:ext uri="{FF2B5EF4-FFF2-40B4-BE49-F238E27FC236}">
              <a16:creationId xmlns:a16="http://schemas.microsoft.com/office/drawing/2014/main" id="{FCF1D791-678F-4BCF-A988-909D1FD12284}"/>
            </a:ext>
          </a:extLst>
        </xdr:cNvPr>
        <xdr:cNvSpPr/>
      </xdr:nvSpPr>
      <xdr:spPr>
        <a:xfrm>
          <a:off x="2322513" y="144461"/>
          <a:ext cx="1310640" cy="27631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7D7D287-93FA-4632-B81E-C1A385C8653B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01-Sep-2025</a:t>
          </a:fld>
          <a:endParaRPr lang="en-US" sz="1200" b="1"/>
        </a:p>
      </xdr:txBody>
    </xdr:sp>
    <xdr:clientData/>
  </xdr:twoCellAnchor>
  <xdr:twoCellAnchor>
    <xdr:from>
      <xdr:col>10</xdr:col>
      <xdr:colOff>129540</xdr:colOff>
      <xdr:row>0</xdr:row>
      <xdr:rowOff>99060</xdr:rowOff>
    </xdr:from>
    <xdr:to>
      <xdr:col>24</xdr:col>
      <xdr:colOff>53340</xdr:colOff>
      <xdr:row>2</xdr:row>
      <xdr:rowOff>45720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82F6B6AB-6F82-42CC-8C68-015E4A358B80}"/>
            </a:ext>
          </a:extLst>
        </xdr:cNvPr>
        <xdr:cNvSpPr/>
      </xdr:nvSpPr>
      <xdr:spPr>
        <a:xfrm>
          <a:off x="6987540" y="99060"/>
          <a:ext cx="3855720" cy="31242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152400</xdr:colOff>
      <xdr:row>0</xdr:row>
      <xdr:rowOff>91440</xdr:rowOff>
    </xdr:from>
    <xdr:to>
      <xdr:col>22</xdr:col>
      <xdr:colOff>91440</xdr:colOff>
      <xdr:row>2</xdr:row>
      <xdr:rowOff>76200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CF8BB2EE-81DA-4B30-A16C-80AED8647245}"/>
            </a:ext>
          </a:extLst>
        </xdr:cNvPr>
        <xdr:cNvSpPr/>
      </xdr:nvSpPr>
      <xdr:spPr>
        <a:xfrm>
          <a:off x="7284720" y="91440"/>
          <a:ext cx="2994660" cy="3505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chemeClr val="tx1"/>
              </a:solidFill>
            </a:rPr>
            <a:t>Dashboard</a:t>
          </a:r>
          <a:r>
            <a:rPr lang="en-US" sz="1400" b="1" baseline="0">
              <a:solidFill>
                <a:schemeClr val="tx1"/>
              </a:solidFill>
            </a:rPr>
            <a:t> For The Month Of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10</xdr:col>
      <xdr:colOff>121920</xdr:colOff>
      <xdr:row>0</xdr:row>
      <xdr:rowOff>106680</xdr:rowOff>
    </xdr:from>
    <xdr:to>
      <xdr:col>11</xdr:col>
      <xdr:colOff>176231</xdr:colOff>
      <xdr:row>2</xdr:row>
      <xdr:rowOff>36594</xdr:rowOff>
    </xdr:to>
    <xdr:pic>
      <xdr:nvPicPr>
        <xdr:cNvPr id="23" name="Graphic 22" descr="Research with solid fill">
          <a:extLst>
            <a:ext uri="{FF2B5EF4-FFF2-40B4-BE49-F238E27FC236}">
              <a16:creationId xmlns:a16="http://schemas.microsoft.com/office/drawing/2014/main" id="{AF989E86-6B4E-42E9-8758-6D65D0F74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6979920" y="106680"/>
          <a:ext cx="328631" cy="295674"/>
        </a:xfrm>
        <a:prstGeom prst="rect">
          <a:avLst/>
        </a:prstGeom>
      </xdr:spPr>
    </xdr:pic>
    <xdr:clientData/>
  </xdr:twoCellAnchor>
  <xdr:twoCellAnchor>
    <xdr:from>
      <xdr:col>19</xdr:col>
      <xdr:colOff>167640</xdr:colOff>
      <xdr:row>0</xdr:row>
      <xdr:rowOff>60960</xdr:rowOff>
    </xdr:from>
    <xdr:to>
      <xdr:col>23</xdr:col>
      <xdr:colOff>228600</xdr:colOff>
      <xdr:row>2</xdr:row>
      <xdr:rowOff>45720</xdr:rowOff>
    </xdr:to>
    <xdr:sp macro="" textlink="$E$5">
      <xdr:nvSpPr>
        <xdr:cNvPr id="24" name="Rectangle: Rounded Corners 23">
          <a:extLst>
            <a:ext uri="{FF2B5EF4-FFF2-40B4-BE49-F238E27FC236}">
              <a16:creationId xmlns:a16="http://schemas.microsoft.com/office/drawing/2014/main" id="{289A950F-5B4B-43ED-B700-85CB893EF242}"/>
            </a:ext>
          </a:extLst>
        </xdr:cNvPr>
        <xdr:cNvSpPr/>
      </xdr:nvSpPr>
      <xdr:spPr>
        <a:xfrm>
          <a:off x="9517380" y="60960"/>
          <a:ext cx="1173480" cy="3505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B9C85A59-FB1C-438C-92E4-56515B55565E}" type="TxLink">
            <a:rPr lang="en-US" sz="1600" b="1" i="0" u="none" strike="noStrike">
              <a:solidFill>
                <a:schemeClr val="accent2"/>
              </a:solidFill>
              <a:latin typeface="Calibri"/>
              <a:ea typeface="Calibri"/>
              <a:cs typeface="Calibri"/>
            </a:rPr>
            <a:pPr algn="l"/>
            <a:t>September</a:t>
          </a:fld>
          <a:endParaRPr lang="en-US" sz="1600" b="1">
            <a:solidFill>
              <a:schemeClr val="accent2"/>
            </a:solidFill>
          </a:endParaRPr>
        </a:p>
      </xdr:txBody>
    </xdr:sp>
    <xdr:clientData/>
  </xdr:twoCellAnchor>
  <xdr:twoCellAnchor>
    <xdr:from>
      <xdr:col>27</xdr:col>
      <xdr:colOff>60960</xdr:colOff>
      <xdr:row>0</xdr:row>
      <xdr:rowOff>91440</xdr:rowOff>
    </xdr:from>
    <xdr:to>
      <xdr:col>29</xdr:col>
      <xdr:colOff>53340</xdr:colOff>
      <xdr:row>2</xdr:row>
      <xdr:rowOff>7620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661D1A46-C323-4125-A90D-541E728798A2}"/>
            </a:ext>
          </a:extLst>
        </xdr:cNvPr>
        <xdr:cNvSpPr/>
      </xdr:nvSpPr>
      <xdr:spPr>
        <a:xfrm>
          <a:off x="11605260" y="914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🟢</a:t>
          </a:r>
        </a:p>
      </xdr:txBody>
    </xdr:sp>
    <xdr:clientData/>
  </xdr:twoCellAnchor>
  <xdr:twoCellAnchor>
    <xdr:from>
      <xdr:col>27</xdr:col>
      <xdr:colOff>23497</xdr:colOff>
      <xdr:row>0</xdr:row>
      <xdr:rowOff>67625</xdr:rowOff>
    </xdr:from>
    <xdr:to>
      <xdr:col>31</xdr:col>
      <xdr:colOff>145417</xdr:colOff>
      <xdr:row>1</xdr:row>
      <xdr:rowOff>161057</xdr:rowOff>
    </xdr:to>
    <xdr:sp macro="" textlink="$J$5">
      <xdr:nvSpPr>
        <xdr:cNvPr id="26" name="Rectangle 25">
          <a:extLst>
            <a:ext uri="{FF2B5EF4-FFF2-40B4-BE49-F238E27FC236}">
              <a16:creationId xmlns:a16="http://schemas.microsoft.com/office/drawing/2014/main" id="{E748E3FE-565B-4470-B116-581921353E2C}"/>
            </a:ext>
          </a:extLst>
        </xdr:cNvPr>
        <xdr:cNvSpPr/>
      </xdr:nvSpPr>
      <xdr:spPr>
        <a:xfrm>
          <a:off x="11567797" y="6762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Present</a:t>
          </a:r>
        </a:p>
      </xdr:txBody>
    </xdr:sp>
    <xdr:clientData/>
  </xdr:twoCellAnchor>
  <xdr:twoCellAnchor>
    <xdr:from>
      <xdr:col>27</xdr:col>
      <xdr:colOff>213360</xdr:colOff>
      <xdr:row>1</xdr:row>
      <xdr:rowOff>60960</xdr:rowOff>
    </xdr:from>
    <xdr:to>
      <xdr:col>29</xdr:col>
      <xdr:colOff>205740</xdr:colOff>
      <xdr:row>2</xdr:row>
      <xdr:rowOff>160020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6705F444-E71E-4FD9-B8B2-DCD124C9C0F9}"/>
            </a:ext>
          </a:extLst>
        </xdr:cNvPr>
        <xdr:cNvSpPr/>
      </xdr:nvSpPr>
      <xdr:spPr>
        <a:xfrm>
          <a:off x="11757660" y="2438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900"/>
        </a:p>
      </xdr:txBody>
    </xdr:sp>
    <xdr:clientData/>
  </xdr:twoCellAnchor>
  <xdr:twoCellAnchor>
    <xdr:from>
      <xdr:col>34</xdr:col>
      <xdr:colOff>7620</xdr:colOff>
      <xdr:row>0</xdr:row>
      <xdr:rowOff>106680</xdr:rowOff>
    </xdr:from>
    <xdr:to>
      <xdr:col>36</xdr:col>
      <xdr:colOff>0</xdr:colOff>
      <xdr:row>2</xdr:row>
      <xdr:rowOff>22860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9C18D155-37CE-4888-B218-9C574F06F77A}"/>
            </a:ext>
          </a:extLst>
        </xdr:cNvPr>
        <xdr:cNvSpPr/>
      </xdr:nvSpPr>
      <xdr:spPr>
        <a:xfrm>
          <a:off x="13540740" y="10668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>
              <a:solidFill>
                <a:schemeClr val="accent2"/>
              </a:solidFill>
            </a:rPr>
            <a:t>.🟡</a:t>
          </a:r>
        </a:p>
      </xdr:txBody>
    </xdr:sp>
    <xdr:clientData/>
  </xdr:twoCellAnchor>
  <xdr:twoCellAnchor>
    <xdr:from>
      <xdr:col>33</xdr:col>
      <xdr:colOff>213997</xdr:colOff>
      <xdr:row>0</xdr:row>
      <xdr:rowOff>82865</xdr:rowOff>
    </xdr:from>
    <xdr:to>
      <xdr:col>38</xdr:col>
      <xdr:colOff>92077</xdr:colOff>
      <xdr:row>1</xdr:row>
      <xdr:rowOff>176297</xdr:rowOff>
    </xdr:to>
    <xdr:sp macro="" textlink="$J$5">
      <xdr:nvSpPr>
        <xdr:cNvPr id="29" name="Rectangle 28">
          <a:extLst>
            <a:ext uri="{FF2B5EF4-FFF2-40B4-BE49-F238E27FC236}">
              <a16:creationId xmlns:a16="http://schemas.microsoft.com/office/drawing/2014/main" id="{A0B42C85-72A7-4CC4-A059-528314EA4EE8}"/>
            </a:ext>
          </a:extLst>
        </xdr:cNvPr>
        <xdr:cNvSpPr/>
      </xdr:nvSpPr>
      <xdr:spPr>
        <a:xfrm>
          <a:off x="13503277" y="8286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Leave</a:t>
          </a:r>
        </a:p>
      </xdr:txBody>
    </xdr:sp>
    <xdr:clientData/>
  </xdr:twoCellAnchor>
  <xdr:twoCellAnchor>
    <xdr:from>
      <xdr:col>30</xdr:col>
      <xdr:colOff>167640</xdr:colOff>
      <xdr:row>0</xdr:row>
      <xdr:rowOff>91440</xdr:rowOff>
    </xdr:from>
    <xdr:to>
      <xdr:col>32</xdr:col>
      <xdr:colOff>152400</xdr:colOff>
      <xdr:row>2</xdr:row>
      <xdr:rowOff>7620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ADA2A876-C495-414E-94BA-E48BD2F1B0FC}"/>
            </a:ext>
          </a:extLst>
        </xdr:cNvPr>
        <xdr:cNvSpPr/>
      </xdr:nvSpPr>
      <xdr:spPr>
        <a:xfrm>
          <a:off x="12580620" y="914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🔴</a:t>
          </a:r>
        </a:p>
      </xdr:txBody>
    </xdr:sp>
    <xdr:clientData/>
  </xdr:twoCellAnchor>
  <xdr:twoCellAnchor>
    <xdr:from>
      <xdr:col>30</xdr:col>
      <xdr:colOff>99697</xdr:colOff>
      <xdr:row>0</xdr:row>
      <xdr:rowOff>82865</xdr:rowOff>
    </xdr:from>
    <xdr:to>
      <xdr:col>35</xdr:col>
      <xdr:colOff>31117</xdr:colOff>
      <xdr:row>1</xdr:row>
      <xdr:rowOff>176297</xdr:rowOff>
    </xdr:to>
    <xdr:sp macro="" textlink="$J$5">
      <xdr:nvSpPr>
        <xdr:cNvPr id="31" name="Rectangle 30">
          <a:extLst>
            <a:ext uri="{FF2B5EF4-FFF2-40B4-BE49-F238E27FC236}">
              <a16:creationId xmlns:a16="http://schemas.microsoft.com/office/drawing/2014/main" id="{7ABBB9E3-0213-4494-804D-6BB2716429F0}"/>
            </a:ext>
          </a:extLst>
        </xdr:cNvPr>
        <xdr:cNvSpPr/>
      </xdr:nvSpPr>
      <xdr:spPr>
        <a:xfrm>
          <a:off x="12512677" y="8286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Absent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0</xdr:rowOff>
    </xdr:from>
    <xdr:to>
      <xdr:col>41</xdr:col>
      <xdr:colOff>45720</xdr:colOff>
      <xdr:row>2</xdr:row>
      <xdr:rowOff>162365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932B2FD-2B1D-4BB6-9FEA-139035DE0187}"/>
            </a:ext>
          </a:extLst>
        </xdr:cNvPr>
        <xdr:cNvSpPr/>
      </xdr:nvSpPr>
      <xdr:spPr>
        <a:xfrm>
          <a:off x="1257300" y="0"/>
          <a:ext cx="14638020" cy="52812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45719</xdr:colOff>
      <xdr:row>33</xdr:row>
      <xdr:rowOff>160020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81C31CD-4EE8-4638-92B6-1948B4483A06}"/>
            </a:ext>
          </a:extLst>
        </xdr:cNvPr>
        <xdr:cNvSpPr/>
      </xdr:nvSpPr>
      <xdr:spPr>
        <a:xfrm flipH="1" flipV="1">
          <a:off x="0" y="0"/>
          <a:ext cx="1264919" cy="6271260"/>
        </a:xfrm>
        <a:prstGeom prst="rect">
          <a:avLst/>
        </a:prstGeom>
        <a:solidFill>
          <a:schemeClr val="tx1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3</xdr:row>
      <xdr:rowOff>152400</xdr:rowOff>
    </xdr:from>
    <xdr:to>
      <xdr:col>2</xdr:col>
      <xdr:colOff>464820</xdr:colOff>
      <xdr:row>5</xdr:row>
      <xdr:rowOff>91440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E5005-CF50-4A97-AEA5-8D2CC7905413}"/>
            </a:ext>
          </a:extLst>
        </xdr:cNvPr>
        <xdr:cNvSpPr/>
      </xdr:nvSpPr>
      <xdr:spPr>
        <a:xfrm>
          <a:off x="0" y="70104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January </a:t>
          </a:r>
        </a:p>
      </xdr:txBody>
    </xdr:sp>
    <xdr:clientData/>
  </xdr:twoCellAnchor>
  <xdr:twoCellAnchor>
    <xdr:from>
      <xdr:col>0</xdr:col>
      <xdr:colOff>0</xdr:colOff>
      <xdr:row>5</xdr:row>
      <xdr:rowOff>144780</xdr:rowOff>
    </xdr:from>
    <xdr:to>
      <xdr:col>2</xdr:col>
      <xdr:colOff>464820</xdr:colOff>
      <xdr:row>7</xdr:row>
      <xdr:rowOff>76200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48F4A21-0F03-453B-811A-2213496416A6}"/>
            </a:ext>
          </a:extLst>
        </xdr:cNvPr>
        <xdr:cNvSpPr/>
      </xdr:nvSpPr>
      <xdr:spPr>
        <a:xfrm>
          <a:off x="0" y="1059180"/>
          <a:ext cx="1684020" cy="31242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bg1"/>
              </a:solidFill>
            </a:rPr>
            <a:t>February</a:t>
          </a:r>
          <a:r>
            <a:rPr lang="en-US" sz="1200"/>
            <a:t> </a:t>
          </a:r>
        </a:p>
      </xdr:txBody>
    </xdr:sp>
    <xdr:clientData/>
  </xdr:twoCellAnchor>
  <xdr:twoCellAnchor>
    <xdr:from>
      <xdr:col>0</xdr:col>
      <xdr:colOff>0</xdr:colOff>
      <xdr:row>7</xdr:row>
      <xdr:rowOff>137160</xdr:rowOff>
    </xdr:from>
    <xdr:to>
      <xdr:col>2</xdr:col>
      <xdr:colOff>464820</xdr:colOff>
      <xdr:row>9</xdr:row>
      <xdr:rowOff>76200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A15D24C-A879-4662-B50F-702FD91D24BF}"/>
            </a:ext>
          </a:extLst>
        </xdr:cNvPr>
        <xdr:cNvSpPr/>
      </xdr:nvSpPr>
      <xdr:spPr>
        <a:xfrm>
          <a:off x="0" y="1432560"/>
          <a:ext cx="1684020" cy="35814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March</a:t>
          </a:r>
        </a:p>
      </xdr:txBody>
    </xdr:sp>
    <xdr:clientData/>
  </xdr:twoCellAnchor>
  <xdr:twoCellAnchor>
    <xdr:from>
      <xdr:col>0</xdr:col>
      <xdr:colOff>0</xdr:colOff>
      <xdr:row>9</xdr:row>
      <xdr:rowOff>121920</xdr:rowOff>
    </xdr:from>
    <xdr:to>
      <xdr:col>2</xdr:col>
      <xdr:colOff>464820</xdr:colOff>
      <xdr:row>11</xdr:row>
      <xdr:rowOff>60960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39723E1-CD18-4118-955C-8027CE12ECDF}"/>
            </a:ext>
          </a:extLst>
        </xdr:cNvPr>
        <xdr:cNvSpPr/>
      </xdr:nvSpPr>
      <xdr:spPr>
        <a:xfrm>
          <a:off x="0" y="183642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April </a:t>
          </a:r>
        </a:p>
      </xdr:txBody>
    </xdr:sp>
    <xdr:clientData/>
  </xdr:twoCellAnchor>
  <xdr:twoCellAnchor>
    <xdr:from>
      <xdr:col>0</xdr:col>
      <xdr:colOff>0</xdr:colOff>
      <xdr:row>11</xdr:row>
      <xdr:rowOff>121920</xdr:rowOff>
    </xdr:from>
    <xdr:to>
      <xdr:col>2</xdr:col>
      <xdr:colOff>464820</xdr:colOff>
      <xdr:row>13</xdr:row>
      <xdr:rowOff>60960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62BEAC8-A469-4407-95DE-4FD027BD15F0}"/>
            </a:ext>
          </a:extLst>
        </xdr:cNvPr>
        <xdr:cNvSpPr/>
      </xdr:nvSpPr>
      <xdr:spPr>
        <a:xfrm>
          <a:off x="0" y="220218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May </a:t>
          </a:r>
        </a:p>
      </xdr:txBody>
    </xdr:sp>
    <xdr:clientData/>
  </xdr:twoCellAnchor>
  <xdr:twoCellAnchor>
    <xdr:from>
      <xdr:col>0</xdr:col>
      <xdr:colOff>0</xdr:colOff>
      <xdr:row>23</xdr:row>
      <xdr:rowOff>167640</xdr:rowOff>
    </xdr:from>
    <xdr:to>
      <xdr:col>2</xdr:col>
      <xdr:colOff>464820</xdr:colOff>
      <xdr:row>25</xdr:row>
      <xdr:rowOff>106680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0D60CD3-D281-4E15-9B05-875A40C27FBC}"/>
            </a:ext>
          </a:extLst>
        </xdr:cNvPr>
        <xdr:cNvSpPr/>
      </xdr:nvSpPr>
      <xdr:spPr>
        <a:xfrm>
          <a:off x="0" y="444246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November </a:t>
          </a:r>
        </a:p>
      </xdr:txBody>
    </xdr:sp>
    <xdr:clientData/>
  </xdr:twoCellAnchor>
  <xdr:twoCellAnchor>
    <xdr:from>
      <xdr:col>0</xdr:col>
      <xdr:colOff>0</xdr:colOff>
      <xdr:row>25</xdr:row>
      <xdr:rowOff>175260</xdr:rowOff>
    </xdr:from>
    <xdr:to>
      <xdr:col>2</xdr:col>
      <xdr:colOff>464820</xdr:colOff>
      <xdr:row>27</xdr:row>
      <xdr:rowOff>114300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F5A0022-B170-4A83-945D-D6BE3B13741A}"/>
            </a:ext>
          </a:extLst>
        </xdr:cNvPr>
        <xdr:cNvSpPr/>
      </xdr:nvSpPr>
      <xdr:spPr>
        <a:xfrm>
          <a:off x="0" y="481584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December </a:t>
          </a:r>
        </a:p>
      </xdr:txBody>
    </xdr:sp>
    <xdr:clientData/>
  </xdr:twoCellAnchor>
  <xdr:twoCellAnchor>
    <xdr:from>
      <xdr:col>0</xdr:col>
      <xdr:colOff>0</xdr:colOff>
      <xdr:row>13</xdr:row>
      <xdr:rowOff>121920</xdr:rowOff>
    </xdr:from>
    <xdr:to>
      <xdr:col>2</xdr:col>
      <xdr:colOff>464820</xdr:colOff>
      <xdr:row>15</xdr:row>
      <xdr:rowOff>60960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E19497E-1DA0-4E0B-8019-D34E21266A61}"/>
            </a:ext>
          </a:extLst>
        </xdr:cNvPr>
        <xdr:cNvSpPr/>
      </xdr:nvSpPr>
      <xdr:spPr>
        <a:xfrm>
          <a:off x="0" y="256794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bg1"/>
              </a:solidFill>
            </a:rPr>
            <a:t>June</a:t>
          </a:r>
          <a:endParaRPr lang="en-US" sz="1200"/>
        </a:p>
      </xdr:txBody>
    </xdr:sp>
    <xdr:clientData/>
  </xdr:twoCellAnchor>
  <xdr:twoCellAnchor>
    <xdr:from>
      <xdr:col>0</xdr:col>
      <xdr:colOff>0</xdr:colOff>
      <xdr:row>15</xdr:row>
      <xdr:rowOff>129540</xdr:rowOff>
    </xdr:from>
    <xdr:to>
      <xdr:col>2</xdr:col>
      <xdr:colOff>464820</xdr:colOff>
      <xdr:row>17</xdr:row>
      <xdr:rowOff>68580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9E463D0-8C51-4CB0-82E3-93C3817B3A37}"/>
            </a:ext>
          </a:extLst>
        </xdr:cNvPr>
        <xdr:cNvSpPr/>
      </xdr:nvSpPr>
      <xdr:spPr>
        <a:xfrm>
          <a:off x="0" y="294132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July</a:t>
          </a:r>
        </a:p>
      </xdr:txBody>
    </xdr:sp>
    <xdr:clientData/>
  </xdr:twoCellAnchor>
  <xdr:twoCellAnchor>
    <xdr:from>
      <xdr:col>0</xdr:col>
      <xdr:colOff>0</xdr:colOff>
      <xdr:row>17</xdr:row>
      <xdr:rowOff>137160</xdr:rowOff>
    </xdr:from>
    <xdr:to>
      <xdr:col>2</xdr:col>
      <xdr:colOff>464820</xdr:colOff>
      <xdr:row>19</xdr:row>
      <xdr:rowOff>76200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E401585-5A3E-4117-B54E-097AC0F88858}"/>
            </a:ext>
          </a:extLst>
        </xdr:cNvPr>
        <xdr:cNvSpPr/>
      </xdr:nvSpPr>
      <xdr:spPr>
        <a:xfrm>
          <a:off x="0" y="331470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August</a:t>
          </a:r>
        </a:p>
      </xdr:txBody>
    </xdr:sp>
    <xdr:clientData/>
  </xdr:twoCellAnchor>
  <xdr:twoCellAnchor>
    <xdr:from>
      <xdr:col>0</xdr:col>
      <xdr:colOff>0</xdr:colOff>
      <xdr:row>19</xdr:row>
      <xdr:rowOff>144780</xdr:rowOff>
    </xdr:from>
    <xdr:to>
      <xdr:col>2</xdr:col>
      <xdr:colOff>464820</xdr:colOff>
      <xdr:row>21</xdr:row>
      <xdr:rowOff>83820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4077FCC-541B-42A6-95B5-E6E188BD2009}"/>
            </a:ext>
          </a:extLst>
        </xdr:cNvPr>
        <xdr:cNvSpPr/>
      </xdr:nvSpPr>
      <xdr:spPr>
        <a:xfrm>
          <a:off x="0" y="368808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September</a:t>
          </a:r>
        </a:p>
      </xdr:txBody>
    </xdr:sp>
    <xdr:clientData/>
  </xdr:twoCellAnchor>
  <xdr:twoCellAnchor>
    <xdr:from>
      <xdr:col>0</xdr:col>
      <xdr:colOff>487680</xdr:colOff>
      <xdr:row>21</xdr:row>
      <xdr:rowOff>160020</xdr:rowOff>
    </xdr:from>
    <xdr:to>
      <xdr:col>3</xdr:col>
      <xdr:colOff>342900</xdr:colOff>
      <xdr:row>23</xdr:row>
      <xdr:rowOff>99060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5BAE150B-F7E0-4954-96D5-7741A0659A77}"/>
            </a:ext>
          </a:extLst>
        </xdr:cNvPr>
        <xdr:cNvSpPr/>
      </xdr:nvSpPr>
      <xdr:spPr>
        <a:xfrm>
          <a:off x="487680" y="4069080"/>
          <a:ext cx="1684020" cy="3048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tx1"/>
              </a:solidFill>
              <a:latin typeface="+mn-lt"/>
              <a:ea typeface="+mn-ea"/>
              <a:cs typeface="+mn-cs"/>
            </a:rPr>
            <a:t>October</a:t>
          </a:r>
        </a:p>
      </xdr:txBody>
    </xdr:sp>
    <xdr:clientData/>
  </xdr:twoCellAnchor>
  <xdr:twoCellAnchor>
    <xdr:from>
      <xdr:col>42</xdr:col>
      <xdr:colOff>11723</xdr:colOff>
      <xdr:row>0</xdr:row>
      <xdr:rowOff>0</xdr:rowOff>
    </xdr:from>
    <xdr:to>
      <xdr:col>56</xdr:col>
      <xdr:colOff>730250</xdr:colOff>
      <xdr:row>2</xdr:row>
      <xdr:rowOff>175847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49B4035B-CF69-4FC0-9899-674F1B225ECC}"/>
            </a:ext>
          </a:extLst>
        </xdr:cNvPr>
        <xdr:cNvSpPr/>
      </xdr:nvSpPr>
      <xdr:spPr>
        <a:xfrm>
          <a:off x="16470923" y="0"/>
          <a:ext cx="11630367" cy="541607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  <a:prstDash val="solid"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3600" b="1">
              <a:solidFill>
                <a:schemeClr val="tx1"/>
              </a:solidFill>
              <a:latin typeface="Aparajita" panose="02020603050405020304" pitchFamily="18" charset="0"/>
              <a:cs typeface="Aparajita" panose="02020603050405020304" pitchFamily="18" charset="0"/>
            </a:rPr>
            <a:t>Monthly  Report</a:t>
          </a:r>
        </a:p>
      </xdr:txBody>
    </xdr:sp>
    <xdr:clientData/>
  </xdr:twoCellAnchor>
  <xdr:twoCellAnchor>
    <xdr:from>
      <xdr:col>6</xdr:col>
      <xdr:colOff>396876</xdr:colOff>
      <xdr:row>0</xdr:row>
      <xdr:rowOff>126999</xdr:rowOff>
    </xdr:from>
    <xdr:to>
      <xdr:col>7</xdr:col>
      <xdr:colOff>474042</xdr:colOff>
      <xdr:row>2</xdr:row>
      <xdr:rowOff>39687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C733EE43-7342-4D8D-84C7-B27396DB79DC}"/>
            </a:ext>
          </a:extLst>
        </xdr:cNvPr>
        <xdr:cNvSpPr/>
      </xdr:nvSpPr>
      <xdr:spPr>
        <a:xfrm>
          <a:off x="3879216" y="126999"/>
          <a:ext cx="1060146" cy="278448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To</a:t>
          </a:r>
        </a:p>
      </xdr:txBody>
    </xdr:sp>
    <xdr:clientData/>
  </xdr:twoCellAnchor>
  <xdr:twoCellAnchor>
    <xdr:from>
      <xdr:col>7</xdr:col>
      <xdr:colOff>461964</xdr:colOff>
      <xdr:row>0</xdr:row>
      <xdr:rowOff>128585</xdr:rowOff>
    </xdr:from>
    <xdr:to>
      <xdr:col>8</xdr:col>
      <xdr:colOff>500064</xdr:colOff>
      <xdr:row>2</xdr:row>
      <xdr:rowOff>39137</xdr:rowOff>
    </xdr:to>
    <xdr:sp macro="" textlink="$J$5">
      <xdr:nvSpPr>
        <xdr:cNvPr id="18" name="Rectangle 17">
          <a:extLst>
            <a:ext uri="{FF2B5EF4-FFF2-40B4-BE49-F238E27FC236}">
              <a16:creationId xmlns:a16="http://schemas.microsoft.com/office/drawing/2014/main" id="{E7C210F6-A6E2-4203-84EA-E79BF828ED4C}"/>
            </a:ext>
          </a:extLst>
        </xdr:cNvPr>
        <xdr:cNvSpPr/>
      </xdr:nvSpPr>
      <xdr:spPr>
        <a:xfrm>
          <a:off x="4927284" y="128585"/>
          <a:ext cx="1325880" cy="27631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EDA3192-0DC9-41BE-8537-F40AE859E52F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31-Oct-2025</a:t>
          </a:fld>
          <a:endParaRPr lang="en-US" sz="1200" b="1"/>
        </a:p>
      </xdr:txBody>
    </xdr:sp>
    <xdr:clientData/>
  </xdr:twoCellAnchor>
  <xdr:twoCellAnchor>
    <xdr:from>
      <xdr:col>2</xdr:col>
      <xdr:colOff>39688</xdr:colOff>
      <xdr:row>0</xdr:row>
      <xdr:rowOff>142875</xdr:rowOff>
    </xdr:from>
    <xdr:to>
      <xdr:col>3</xdr:col>
      <xdr:colOff>481979</xdr:colOff>
      <xdr:row>2</xdr:row>
      <xdr:rowOff>55563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99CBA796-06E2-4F78-829D-DDA7E0F6338A}"/>
            </a:ext>
          </a:extLst>
        </xdr:cNvPr>
        <xdr:cNvSpPr/>
      </xdr:nvSpPr>
      <xdr:spPr>
        <a:xfrm>
          <a:off x="1258888" y="142875"/>
          <a:ext cx="1051891" cy="278448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From</a:t>
          </a:r>
        </a:p>
      </xdr:txBody>
    </xdr:sp>
    <xdr:clientData/>
  </xdr:twoCellAnchor>
  <xdr:twoCellAnchor>
    <xdr:from>
      <xdr:col>3</xdr:col>
      <xdr:colOff>493713</xdr:colOff>
      <xdr:row>0</xdr:row>
      <xdr:rowOff>144461</xdr:rowOff>
    </xdr:from>
    <xdr:to>
      <xdr:col>6</xdr:col>
      <xdr:colOff>150813</xdr:colOff>
      <xdr:row>2</xdr:row>
      <xdr:rowOff>55013</xdr:rowOff>
    </xdr:to>
    <xdr:sp macro="" textlink="$G$5">
      <xdr:nvSpPr>
        <xdr:cNvPr id="20" name="Rectangle 19">
          <a:extLst>
            <a:ext uri="{FF2B5EF4-FFF2-40B4-BE49-F238E27FC236}">
              <a16:creationId xmlns:a16="http://schemas.microsoft.com/office/drawing/2014/main" id="{66977539-7478-4C93-9793-6607959C14D3}"/>
            </a:ext>
          </a:extLst>
        </xdr:cNvPr>
        <xdr:cNvSpPr/>
      </xdr:nvSpPr>
      <xdr:spPr>
        <a:xfrm>
          <a:off x="2322513" y="144461"/>
          <a:ext cx="1310640" cy="27631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7D7D287-93FA-4632-B81E-C1A385C8653B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01-Oct-2025</a:t>
          </a:fld>
          <a:endParaRPr lang="en-US" sz="1200" b="1"/>
        </a:p>
      </xdr:txBody>
    </xdr:sp>
    <xdr:clientData/>
  </xdr:twoCellAnchor>
  <xdr:twoCellAnchor>
    <xdr:from>
      <xdr:col>10</xdr:col>
      <xdr:colOff>129540</xdr:colOff>
      <xdr:row>0</xdr:row>
      <xdr:rowOff>99060</xdr:rowOff>
    </xdr:from>
    <xdr:to>
      <xdr:col>24</xdr:col>
      <xdr:colOff>53340</xdr:colOff>
      <xdr:row>2</xdr:row>
      <xdr:rowOff>45720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30241B43-C414-4FAC-95AE-34592E7C0AF1}"/>
            </a:ext>
          </a:extLst>
        </xdr:cNvPr>
        <xdr:cNvSpPr/>
      </xdr:nvSpPr>
      <xdr:spPr>
        <a:xfrm>
          <a:off x="6987540" y="99060"/>
          <a:ext cx="3855720" cy="31242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152400</xdr:colOff>
      <xdr:row>0</xdr:row>
      <xdr:rowOff>91440</xdr:rowOff>
    </xdr:from>
    <xdr:to>
      <xdr:col>22</xdr:col>
      <xdr:colOff>91440</xdr:colOff>
      <xdr:row>2</xdr:row>
      <xdr:rowOff>76200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6A06193-8AEA-4104-8185-C14FD870D5E4}"/>
            </a:ext>
          </a:extLst>
        </xdr:cNvPr>
        <xdr:cNvSpPr/>
      </xdr:nvSpPr>
      <xdr:spPr>
        <a:xfrm>
          <a:off x="7284720" y="91440"/>
          <a:ext cx="2994660" cy="3505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chemeClr val="tx1"/>
              </a:solidFill>
            </a:rPr>
            <a:t>Dashboard</a:t>
          </a:r>
          <a:r>
            <a:rPr lang="en-US" sz="1400" b="1" baseline="0">
              <a:solidFill>
                <a:schemeClr val="tx1"/>
              </a:solidFill>
            </a:rPr>
            <a:t> For The Month Of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10</xdr:col>
      <xdr:colOff>121920</xdr:colOff>
      <xdr:row>0</xdr:row>
      <xdr:rowOff>106680</xdr:rowOff>
    </xdr:from>
    <xdr:to>
      <xdr:col>11</xdr:col>
      <xdr:colOff>176231</xdr:colOff>
      <xdr:row>2</xdr:row>
      <xdr:rowOff>36594</xdr:rowOff>
    </xdr:to>
    <xdr:pic>
      <xdr:nvPicPr>
        <xdr:cNvPr id="23" name="Graphic 22" descr="Research with solid fill">
          <a:extLst>
            <a:ext uri="{FF2B5EF4-FFF2-40B4-BE49-F238E27FC236}">
              <a16:creationId xmlns:a16="http://schemas.microsoft.com/office/drawing/2014/main" id="{B1951C02-413E-4DFB-A603-5FADAF147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6979920" y="106680"/>
          <a:ext cx="328631" cy="295674"/>
        </a:xfrm>
        <a:prstGeom prst="rect">
          <a:avLst/>
        </a:prstGeom>
      </xdr:spPr>
    </xdr:pic>
    <xdr:clientData/>
  </xdr:twoCellAnchor>
  <xdr:twoCellAnchor>
    <xdr:from>
      <xdr:col>19</xdr:col>
      <xdr:colOff>167640</xdr:colOff>
      <xdr:row>0</xdr:row>
      <xdr:rowOff>60960</xdr:rowOff>
    </xdr:from>
    <xdr:to>
      <xdr:col>23</xdr:col>
      <xdr:colOff>228600</xdr:colOff>
      <xdr:row>2</xdr:row>
      <xdr:rowOff>45720</xdr:rowOff>
    </xdr:to>
    <xdr:sp macro="" textlink="$E$5">
      <xdr:nvSpPr>
        <xdr:cNvPr id="24" name="Rectangle: Rounded Corners 23">
          <a:extLst>
            <a:ext uri="{FF2B5EF4-FFF2-40B4-BE49-F238E27FC236}">
              <a16:creationId xmlns:a16="http://schemas.microsoft.com/office/drawing/2014/main" id="{42DCCB98-2392-4A4E-B982-BB038F0A9152}"/>
            </a:ext>
          </a:extLst>
        </xdr:cNvPr>
        <xdr:cNvSpPr/>
      </xdr:nvSpPr>
      <xdr:spPr>
        <a:xfrm>
          <a:off x="9517380" y="60960"/>
          <a:ext cx="1173480" cy="3505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B9C85A59-FB1C-438C-92E4-56515B55565E}" type="TxLink">
            <a:rPr lang="en-US" sz="1600" b="1" i="0" u="none" strike="noStrike">
              <a:solidFill>
                <a:schemeClr val="accent2"/>
              </a:solidFill>
              <a:latin typeface="Calibri"/>
              <a:ea typeface="Calibri"/>
              <a:cs typeface="Calibri"/>
            </a:rPr>
            <a:pPr algn="l"/>
            <a:t>October</a:t>
          </a:fld>
          <a:endParaRPr lang="en-US" sz="1600" b="1">
            <a:solidFill>
              <a:schemeClr val="accent2"/>
            </a:solidFill>
          </a:endParaRPr>
        </a:p>
      </xdr:txBody>
    </xdr:sp>
    <xdr:clientData/>
  </xdr:twoCellAnchor>
  <xdr:twoCellAnchor>
    <xdr:from>
      <xdr:col>27</xdr:col>
      <xdr:colOff>60960</xdr:colOff>
      <xdr:row>0</xdr:row>
      <xdr:rowOff>91440</xdr:rowOff>
    </xdr:from>
    <xdr:to>
      <xdr:col>29</xdr:col>
      <xdr:colOff>53340</xdr:colOff>
      <xdr:row>2</xdr:row>
      <xdr:rowOff>7620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2EEC6B26-3B94-43C8-9F30-5CC961ADF687}"/>
            </a:ext>
          </a:extLst>
        </xdr:cNvPr>
        <xdr:cNvSpPr/>
      </xdr:nvSpPr>
      <xdr:spPr>
        <a:xfrm>
          <a:off x="11605260" y="914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🟢</a:t>
          </a:r>
        </a:p>
      </xdr:txBody>
    </xdr:sp>
    <xdr:clientData/>
  </xdr:twoCellAnchor>
  <xdr:twoCellAnchor>
    <xdr:from>
      <xdr:col>27</xdr:col>
      <xdr:colOff>23497</xdr:colOff>
      <xdr:row>0</xdr:row>
      <xdr:rowOff>67625</xdr:rowOff>
    </xdr:from>
    <xdr:to>
      <xdr:col>31</xdr:col>
      <xdr:colOff>145417</xdr:colOff>
      <xdr:row>1</xdr:row>
      <xdr:rowOff>161057</xdr:rowOff>
    </xdr:to>
    <xdr:sp macro="" textlink="$J$5">
      <xdr:nvSpPr>
        <xdr:cNvPr id="26" name="Rectangle 25">
          <a:extLst>
            <a:ext uri="{FF2B5EF4-FFF2-40B4-BE49-F238E27FC236}">
              <a16:creationId xmlns:a16="http://schemas.microsoft.com/office/drawing/2014/main" id="{4EA87947-03E2-4114-8F57-40C7E7E2A501}"/>
            </a:ext>
          </a:extLst>
        </xdr:cNvPr>
        <xdr:cNvSpPr/>
      </xdr:nvSpPr>
      <xdr:spPr>
        <a:xfrm>
          <a:off x="11567797" y="6762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Present</a:t>
          </a:r>
        </a:p>
      </xdr:txBody>
    </xdr:sp>
    <xdr:clientData/>
  </xdr:twoCellAnchor>
  <xdr:twoCellAnchor>
    <xdr:from>
      <xdr:col>27</xdr:col>
      <xdr:colOff>213360</xdr:colOff>
      <xdr:row>1</xdr:row>
      <xdr:rowOff>60960</xdr:rowOff>
    </xdr:from>
    <xdr:to>
      <xdr:col>29</xdr:col>
      <xdr:colOff>205740</xdr:colOff>
      <xdr:row>2</xdr:row>
      <xdr:rowOff>160020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D7F976AD-2880-4313-B5E0-2C9086F7F8F8}"/>
            </a:ext>
          </a:extLst>
        </xdr:cNvPr>
        <xdr:cNvSpPr/>
      </xdr:nvSpPr>
      <xdr:spPr>
        <a:xfrm>
          <a:off x="11757660" y="2438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900"/>
        </a:p>
      </xdr:txBody>
    </xdr:sp>
    <xdr:clientData/>
  </xdr:twoCellAnchor>
  <xdr:twoCellAnchor>
    <xdr:from>
      <xdr:col>34</xdr:col>
      <xdr:colOff>7620</xdr:colOff>
      <xdr:row>0</xdr:row>
      <xdr:rowOff>106680</xdr:rowOff>
    </xdr:from>
    <xdr:to>
      <xdr:col>36</xdr:col>
      <xdr:colOff>0</xdr:colOff>
      <xdr:row>2</xdr:row>
      <xdr:rowOff>22860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589636AB-E160-4C7B-B713-A00825FBA0F0}"/>
            </a:ext>
          </a:extLst>
        </xdr:cNvPr>
        <xdr:cNvSpPr/>
      </xdr:nvSpPr>
      <xdr:spPr>
        <a:xfrm>
          <a:off x="13540740" y="10668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>
              <a:solidFill>
                <a:schemeClr val="accent2"/>
              </a:solidFill>
            </a:rPr>
            <a:t>.🟡</a:t>
          </a:r>
        </a:p>
      </xdr:txBody>
    </xdr:sp>
    <xdr:clientData/>
  </xdr:twoCellAnchor>
  <xdr:twoCellAnchor>
    <xdr:from>
      <xdr:col>33</xdr:col>
      <xdr:colOff>213997</xdr:colOff>
      <xdr:row>0</xdr:row>
      <xdr:rowOff>82865</xdr:rowOff>
    </xdr:from>
    <xdr:to>
      <xdr:col>38</xdr:col>
      <xdr:colOff>92077</xdr:colOff>
      <xdr:row>1</xdr:row>
      <xdr:rowOff>176297</xdr:rowOff>
    </xdr:to>
    <xdr:sp macro="" textlink="$J$5">
      <xdr:nvSpPr>
        <xdr:cNvPr id="29" name="Rectangle 28">
          <a:extLst>
            <a:ext uri="{FF2B5EF4-FFF2-40B4-BE49-F238E27FC236}">
              <a16:creationId xmlns:a16="http://schemas.microsoft.com/office/drawing/2014/main" id="{67998B74-E0F9-4D29-A741-4139B4E8176F}"/>
            </a:ext>
          </a:extLst>
        </xdr:cNvPr>
        <xdr:cNvSpPr/>
      </xdr:nvSpPr>
      <xdr:spPr>
        <a:xfrm>
          <a:off x="13503277" y="8286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Leave</a:t>
          </a:r>
        </a:p>
      </xdr:txBody>
    </xdr:sp>
    <xdr:clientData/>
  </xdr:twoCellAnchor>
  <xdr:twoCellAnchor>
    <xdr:from>
      <xdr:col>30</xdr:col>
      <xdr:colOff>167640</xdr:colOff>
      <xdr:row>0</xdr:row>
      <xdr:rowOff>91440</xdr:rowOff>
    </xdr:from>
    <xdr:to>
      <xdr:col>32</xdr:col>
      <xdr:colOff>152400</xdr:colOff>
      <xdr:row>2</xdr:row>
      <xdr:rowOff>7620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DA705F25-0A84-4577-8FA3-D0A05E35864A}"/>
            </a:ext>
          </a:extLst>
        </xdr:cNvPr>
        <xdr:cNvSpPr/>
      </xdr:nvSpPr>
      <xdr:spPr>
        <a:xfrm>
          <a:off x="12580620" y="914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🔴</a:t>
          </a:r>
        </a:p>
      </xdr:txBody>
    </xdr:sp>
    <xdr:clientData/>
  </xdr:twoCellAnchor>
  <xdr:twoCellAnchor>
    <xdr:from>
      <xdr:col>30</xdr:col>
      <xdr:colOff>99697</xdr:colOff>
      <xdr:row>0</xdr:row>
      <xdr:rowOff>82865</xdr:rowOff>
    </xdr:from>
    <xdr:to>
      <xdr:col>35</xdr:col>
      <xdr:colOff>31117</xdr:colOff>
      <xdr:row>1</xdr:row>
      <xdr:rowOff>176297</xdr:rowOff>
    </xdr:to>
    <xdr:sp macro="" textlink="$J$5">
      <xdr:nvSpPr>
        <xdr:cNvPr id="31" name="Rectangle 30">
          <a:extLst>
            <a:ext uri="{FF2B5EF4-FFF2-40B4-BE49-F238E27FC236}">
              <a16:creationId xmlns:a16="http://schemas.microsoft.com/office/drawing/2014/main" id="{08F1196A-1FEA-407D-B36F-06492098597C}"/>
            </a:ext>
          </a:extLst>
        </xdr:cNvPr>
        <xdr:cNvSpPr/>
      </xdr:nvSpPr>
      <xdr:spPr>
        <a:xfrm>
          <a:off x="12512677" y="8286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Absent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0</xdr:rowOff>
    </xdr:from>
    <xdr:to>
      <xdr:col>41</xdr:col>
      <xdr:colOff>45720</xdr:colOff>
      <xdr:row>2</xdr:row>
      <xdr:rowOff>162365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9D329EC-8D44-4F71-AD5E-E46BDBEFD400}"/>
            </a:ext>
          </a:extLst>
        </xdr:cNvPr>
        <xdr:cNvSpPr/>
      </xdr:nvSpPr>
      <xdr:spPr>
        <a:xfrm>
          <a:off x="1257300" y="0"/>
          <a:ext cx="14638020" cy="52812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45719</xdr:colOff>
      <xdr:row>33</xdr:row>
      <xdr:rowOff>160020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2082F0F-9616-47A9-8647-CC98A3BEF0C2}"/>
            </a:ext>
          </a:extLst>
        </xdr:cNvPr>
        <xdr:cNvSpPr/>
      </xdr:nvSpPr>
      <xdr:spPr>
        <a:xfrm flipH="1" flipV="1">
          <a:off x="0" y="0"/>
          <a:ext cx="1264919" cy="6271260"/>
        </a:xfrm>
        <a:prstGeom prst="rect">
          <a:avLst/>
        </a:prstGeom>
        <a:solidFill>
          <a:schemeClr val="tx1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3</xdr:row>
      <xdr:rowOff>144780</xdr:rowOff>
    </xdr:from>
    <xdr:to>
      <xdr:col>2</xdr:col>
      <xdr:colOff>464820</xdr:colOff>
      <xdr:row>5</xdr:row>
      <xdr:rowOff>83820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714C8B-A498-4892-BD3B-2C8ECD7D7A25}"/>
            </a:ext>
          </a:extLst>
        </xdr:cNvPr>
        <xdr:cNvSpPr/>
      </xdr:nvSpPr>
      <xdr:spPr>
        <a:xfrm>
          <a:off x="0" y="69342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January </a:t>
          </a:r>
        </a:p>
      </xdr:txBody>
    </xdr:sp>
    <xdr:clientData/>
  </xdr:twoCellAnchor>
  <xdr:twoCellAnchor>
    <xdr:from>
      <xdr:col>0</xdr:col>
      <xdr:colOff>0</xdr:colOff>
      <xdr:row>5</xdr:row>
      <xdr:rowOff>144780</xdr:rowOff>
    </xdr:from>
    <xdr:to>
      <xdr:col>2</xdr:col>
      <xdr:colOff>464820</xdr:colOff>
      <xdr:row>7</xdr:row>
      <xdr:rowOff>76200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E00284B-81F7-428A-84F1-47198CDC28C4}"/>
            </a:ext>
          </a:extLst>
        </xdr:cNvPr>
        <xdr:cNvSpPr/>
      </xdr:nvSpPr>
      <xdr:spPr>
        <a:xfrm>
          <a:off x="0" y="1059180"/>
          <a:ext cx="1684020" cy="31242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bg1"/>
              </a:solidFill>
            </a:rPr>
            <a:t>February</a:t>
          </a:r>
          <a:r>
            <a:rPr lang="en-US" sz="1200"/>
            <a:t> </a:t>
          </a:r>
        </a:p>
      </xdr:txBody>
    </xdr:sp>
    <xdr:clientData/>
  </xdr:twoCellAnchor>
  <xdr:twoCellAnchor>
    <xdr:from>
      <xdr:col>0</xdr:col>
      <xdr:colOff>0</xdr:colOff>
      <xdr:row>7</xdr:row>
      <xdr:rowOff>137160</xdr:rowOff>
    </xdr:from>
    <xdr:to>
      <xdr:col>2</xdr:col>
      <xdr:colOff>464820</xdr:colOff>
      <xdr:row>9</xdr:row>
      <xdr:rowOff>76200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00B4C24-DCBA-4EF5-B862-170E5287CE13}"/>
            </a:ext>
          </a:extLst>
        </xdr:cNvPr>
        <xdr:cNvSpPr/>
      </xdr:nvSpPr>
      <xdr:spPr>
        <a:xfrm>
          <a:off x="0" y="1432560"/>
          <a:ext cx="1684020" cy="35814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March</a:t>
          </a:r>
        </a:p>
      </xdr:txBody>
    </xdr:sp>
    <xdr:clientData/>
  </xdr:twoCellAnchor>
  <xdr:twoCellAnchor>
    <xdr:from>
      <xdr:col>0</xdr:col>
      <xdr:colOff>0</xdr:colOff>
      <xdr:row>9</xdr:row>
      <xdr:rowOff>121920</xdr:rowOff>
    </xdr:from>
    <xdr:to>
      <xdr:col>2</xdr:col>
      <xdr:colOff>464820</xdr:colOff>
      <xdr:row>11</xdr:row>
      <xdr:rowOff>60960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03CAF96-D411-41AB-863E-B1A2DBB0F5D2}"/>
            </a:ext>
          </a:extLst>
        </xdr:cNvPr>
        <xdr:cNvSpPr/>
      </xdr:nvSpPr>
      <xdr:spPr>
        <a:xfrm>
          <a:off x="0" y="183642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April </a:t>
          </a:r>
        </a:p>
      </xdr:txBody>
    </xdr:sp>
    <xdr:clientData/>
  </xdr:twoCellAnchor>
  <xdr:twoCellAnchor>
    <xdr:from>
      <xdr:col>0</xdr:col>
      <xdr:colOff>0</xdr:colOff>
      <xdr:row>11</xdr:row>
      <xdr:rowOff>121920</xdr:rowOff>
    </xdr:from>
    <xdr:to>
      <xdr:col>2</xdr:col>
      <xdr:colOff>464820</xdr:colOff>
      <xdr:row>13</xdr:row>
      <xdr:rowOff>60960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247ABA4-39DD-43AA-9202-F7A3F748B9CB}"/>
            </a:ext>
          </a:extLst>
        </xdr:cNvPr>
        <xdr:cNvSpPr/>
      </xdr:nvSpPr>
      <xdr:spPr>
        <a:xfrm>
          <a:off x="0" y="220218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May </a:t>
          </a:r>
        </a:p>
      </xdr:txBody>
    </xdr:sp>
    <xdr:clientData/>
  </xdr:twoCellAnchor>
  <xdr:twoCellAnchor>
    <xdr:from>
      <xdr:col>0</xdr:col>
      <xdr:colOff>449580</xdr:colOff>
      <xdr:row>23</xdr:row>
      <xdr:rowOff>167640</xdr:rowOff>
    </xdr:from>
    <xdr:to>
      <xdr:col>3</xdr:col>
      <xdr:colOff>304800</xdr:colOff>
      <xdr:row>25</xdr:row>
      <xdr:rowOff>106680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2CD0CC1-EF6E-46B5-ADB0-A109A3253037}"/>
            </a:ext>
          </a:extLst>
        </xdr:cNvPr>
        <xdr:cNvSpPr/>
      </xdr:nvSpPr>
      <xdr:spPr>
        <a:xfrm>
          <a:off x="449580" y="4442460"/>
          <a:ext cx="1684020" cy="3048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tx1"/>
              </a:solidFill>
              <a:latin typeface="+mn-lt"/>
              <a:ea typeface="+mn-ea"/>
              <a:cs typeface="+mn-cs"/>
            </a:rPr>
            <a:t>November </a:t>
          </a:r>
        </a:p>
      </xdr:txBody>
    </xdr:sp>
    <xdr:clientData/>
  </xdr:twoCellAnchor>
  <xdr:twoCellAnchor>
    <xdr:from>
      <xdr:col>0</xdr:col>
      <xdr:colOff>0</xdr:colOff>
      <xdr:row>25</xdr:row>
      <xdr:rowOff>175260</xdr:rowOff>
    </xdr:from>
    <xdr:to>
      <xdr:col>2</xdr:col>
      <xdr:colOff>464820</xdr:colOff>
      <xdr:row>27</xdr:row>
      <xdr:rowOff>114300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FE66AE2-F2EA-4C37-867B-BE36A82832A6}"/>
            </a:ext>
          </a:extLst>
        </xdr:cNvPr>
        <xdr:cNvSpPr/>
      </xdr:nvSpPr>
      <xdr:spPr>
        <a:xfrm>
          <a:off x="0" y="481584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December </a:t>
          </a:r>
        </a:p>
      </xdr:txBody>
    </xdr:sp>
    <xdr:clientData/>
  </xdr:twoCellAnchor>
  <xdr:twoCellAnchor>
    <xdr:from>
      <xdr:col>0</xdr:col>
      <xdr:colOff>0</xdr:colOff>
      <xdr:row>13</xdr:row>
      <xdr:rowOff>121920</xdr:rowOff>
    </xdr:from>
    <xdr:to>
      <xdr:col>2</xdr:col>
      <xdr:colOff>464820</xdr:colOff>
      <xdr:row>15</xdr:row>
      <xdr:rowOff>60960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C6FDD77-6FCB-4021-A591-3C615663EFA8}"/>
            </a:ext>
          </a:extLst>
        </xdr:cNvPr>
        <xdr:cNvSpPr/>
      </xdr:nvSpPr>
      <xdr:spPr>
        <a:xfrm>
          <a:off x="0" y="256794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bg1"/>
              </a:solidFill>
            </a:rPr>
            <a:t>June</a:t>
          </a:r>
          <a:endParaRPr lang="en-US" sz="1200"/>
        </a:p>
      </xdr:txBody>
    </xdr:sp>
    <xdr:clientData/>
  </xdr:twoCellAnchor>
  <xdr:twoCellAnchor>
    <xdr:from>
      <xdr:col>0</xdr:col>
      <xdr:colOff>0</xdr:colOff>
      <xdr:row>15</xdr:row>
      <xdr:rowOff>129540</xdr:rowOff>
    </xdr:from>
    <xdr:to>
      <xdr:col>2</xdr:col>
      <xdr:colOff>464820</xdr:colOff>
      <xdr:row>17</xdr:row>
      <xdr:rowOff>68580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160CF33-BF74-4487-97AB-9BDCAA6485C1}"/>
            </a:ext>
          </a:extLst>
        </xdr:cNvPr>
        <xdr:cNvSpPr/>
      </xdr:nvSpPr>
      <xdr:spPr>
        <a:xfrm>
          <a:off x="0" y="294132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July</a:t>
          </a:r>
        </a:p>
      </xdr:txBody>
    </xdr:sp>
    <xdr:clientData/>
  </xdr:twoCellAnchor>
  <xdr:twoCellAnchor>
    <xdr:from>
      <xdr:col>0</xdr:col>
      <xdr:colOff>0</xdr:colOff>
      <xdr:row>17</xdr:row>
      <xdr:rowOff>137160</xdr:rowOff>
    </xdr:from>
    <xdr:to>
      <xdr:col>2</xdr:col>
      <xdr:colOff>464820</xdr:colOff>
      <xdr:row>19</xdr:row>
      <xdr:rowOff>76200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B7DA27A-94BC-4CF9-8B9D-B94262840471}"/>
            </a:ext>
          </a:extLst>
        </xdr:cNvPr>
        <xdr:cNvSpPr/>
      </xdr:nvSpPr>
      <xdr:spPr>
        <a:xfrm>
          <a:off x="0" y="331470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August</a:t>
          </a:r>
        </a:p>
      </xdr:txBody>
    </xdr:sp>
    <xdr:clientData/>
  </xdr:twoCellAnchor>
  <xdr:twoCellAnchor>
    <xdr:from>
      <xdr:col>0</xdr:col>
      <xdr:colOff>0</xdr:colOff>
      <xdr:row>19</xdr:row>
      <xdr:rowOff>144780</xdr:rowOff>
    </xdr:from>
    <xdr:to>
      <xdr:col>2</xdr:col>
      <xdr:colOff>464820</xdr:colOff>
      <xdr:row>21</xdr:row>
      <xdr:rowOff>83820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3A9BAA7-DE53-45AB-9C82-1DB0EFAB9A02}"/>
            </a:ext>
          </a:extLst>
        </xdr:cNvPr>
        <xdr:cNvSpPr/>
      </xdr:nvSpPr>
      <xdr:spPr>
        <a:xfrm>
          <a:off x="0" y="368808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September</a:t>
          </a:r>
        </a:p>
      </xdr:txBody>
    </xdr:sp>
    <xdr:clientData/>
  </xdr:twoCellAnchor>
  <xdr:twoCellAnchor>
    <xdr:from>
      <xdr:col>0</xdr:col>
      <xdr:colOff>0</xdr:colOff>
      <xdr:row>21</xdr:row>
      <xdr:rowOff>152400</xdr:rowOff>
    </xdr:from>
    <xdr:to>
      <xdr:col>2</xdr:col>
      <xdr:colOff>464820</xdr:colOff>
      <xdr:row>23</xdr:row>
      <xdr:rowOff>91440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4F71D46-D69E-44BE-A6D3-93028B3303BE}"/>
            </a:ext>
          </a:extLst>
        </xdr:cNvPr>
        <xdr:cNvSpPr/>
      </xdr:nvSpPr>
      <xdr:spPr>
        <a:xfrm>
          <a:off x="0" y="406146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October</a:t>
          </a:r>
        </a:p>
      </xdr:txBody>
    </xdr:sp>
    <xdr:clientData/>
  </xdr:twoCellAnchor>
  <xdr:twoCellAnchor>
    <xdr:from>
      <xdr:col>42</xdr:col>
      <xdr:colOff>11723</xdr:colOff>
      <xdr:row>0</xdr:row>
      <xdr:rowOff>0</xdr:rowOff>
    </xdr:from>
    <xdr:to>
      <xdr:col>56</xdr:col>
      <xdr:colOff>730250</xdr:colOff>
      <xdr:row>2</xdr:row>
      <xdr:rowOff>175847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64639A35-D05A-46E4-A5D6-0368242A1364}"/>
            </a:ext>
          </a:extLst>
        </xdr:cNvPr>
        <xdr:cNvSpPr/>
      </xdr:nvSpPr>
      <xdr:spPr>
        <a:xfrm>
          <a:off x="16470923" y="0"/>
          <a:ext cx="11630367" cy="541607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  <a:prstDash val="solid"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3600" b="1">
              <a:solidFill>
                <a:schemeClr val="tx1"/>
              </a:solidFill>
              <a:latin typeface="Aparajita" panose="02020603050405020304" pitchFamily="18" charset="0"/>
              <a:cs typeface="Aparajita" panose="02020603050405020304" pitchFamily="18" charset="0"/>
            </a:rPr>
            <a:t>Monthly  Report</a:t>
          </a:r>
        </a:p>
      </xdr:txBody>
    </xdr:sp>
    <xdr:clientData/>
  </xdr:twoCellAnchor>
  <xdr:twoCellAnchor>
    <xdr:from>
      <xdr:col>6</xdr:col>
      <xdr:colOff>396876</xdr:colOff>
      <xdr:row>0</xdr:row>
      <xdr:rowOff>126999</xdr:rowOff>
    </xdr:from>
    <xdr:to>
      <xdr:col>7</xdr:col>
      <xdr:colOff>474042</xdr:colOff>
      <xdr:row>2</xdr:row>
      <xdr:rowOff>39687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444547C4-F9C2-4B8E-9108-13A1C51A1D91}"/>
            </a:ext>
          </a:extLst>
        </xdr:cNvPr>
        <xdr:cNvSpPr/>
      </xdr:nvSpPr>
      <xdr:spPr>
        <a:xfrm>
          <a:off x="3879216" y="126999"/>
          <a:ext cx="1060146" cy="278448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To</a:t>
          </a:r>
        </a:p>
      </xdr:txBody>
    </xdr:sp>
    <xdr:clientData/>
  </xdr:twoCellAnchor>
  <xdr:twoCellAnchor>
    <xdr:from>
      <xdr:col>7</xdr:col>
      <xdr:colOff>461964</xdr:colOff>
      <xdr:row>0</xdr:row>
      <xdr:rowOff>128585</xdr:rowOff>
    </xdr:from>
    <xdr:to>
      <xdr:col>8</xdr:col>
      <xdr:colOff>500064</xdr:colOff>
      <xdr:row>2</xdr:row>
      <xdr:rowOff>39137</xdr:rowOff>
    </xdr:to>
    <xdr:sp macro="" textlink="$J$5">
      <xdr:nvSpPr>
        <xdr:cNvPr id="18" name="Rectangle 17">
          <a:extLst>
            <a:ext uri="{FF2B5EF4-FFF2-40B4-BE49-F238E27FC236}">
              <a16:creationId xmlns:a16="http://schemas.microsoft.com/office/drawing/2014/main" id="{C2BCDF28-F65C-4AFC-B980-2C6654A09318}"/>
            </a:ext>
          </a:extLst>
        </xdr:cNvPr>
        <xdr:cNvSpPr/>
      </xdr:nvSpPr>
      <xdr:spPr>
        <a:xfrm>
          <a:off x="4927284" y="128585"/>
          <a:ext cx="1325880" cy="27631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EDA3192-0DC9-41BE-8537-F40AE859E52F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30-Nov-2025</a:t>
          </a:fld>
          <a:endParaRPr lang="en-US" sz="1200" b="1"/>
        </a:p>
      </xdr:txBody>
    </xdr:sp>
    <xdr:clientData/>
  </xdr:twoCellAnchor>
  <xdr:twoCellAnchor>
    <xdr:from>
      <xdr:col>2</xdr:col>
      <xdr:colOff>39688</xdr:colOff>
      <xdr:row>0</xdr:row>
      <xdr:rowOff>142875</xdr:rowOff>
    </xdr:from>
    <xdr:to>
      <xdr:col>3</xdr:col>
      <xdr:colOff>481979</xdr:colOff>
      <xdr:row>2</xdr:row>
      <xdr:rowOff>55563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8F71D1F9-7183-4B83-9D70-9E94339F512A}"/>
            </a:ext>
          </a:extLst>
        </xdr:cNvPr>
        <xdr:cNvSpPr/>
      </xdr:nvSpPr>
      <xdr:spPr>
        <a:xfrm>
          <a:off x="1258888" y="142875"/>
          <a:ext cx="1051891" cy="278448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From</a:t>
          </a:r>
        </a:p>
      </xdr:txBody>
    </xdr:sp>
    <xdr:clientData/>
  </xdr:twoCellAnchor>
  <xdr:twoCellAnchor>
    <xdr:from>
      <xdr:col>3</xdr:col>
      <xdr:colOff>493713</xdr:colOff>
      <xdr:row>0</xdr:row>
      <xdr:rowOff>144461</xdr:rowOff>
    </xdr:from>
    <xdr:to>
      <xdr:col>6</xdr:col>
      <xdr:colOff>150813</xdr:colOff>
      <xdr:row>2</xdr:row>
      <xdr:rowOff>55013</xdr:rowOff>
    </xdr:to>
    <xdr:sp macro="" textlink="$G$5">
      <xdr:nvSpPr>
        <xdr:cNvPr id="20" name="Rectangle 19">
          <a:extLst>
            <a:ext uri="{FF2B5EF4-FFF2-40B4-BE49-F238E27FC236}">
              <a16:creationId xmlns:a16="http://schemas.microsoft.com/office/drawing/2014/main" id="{458E6C2C-368E-421F-8AEB-99229F790DB5}"/>
            </a:ext>
          </a:extLst>
        </xdr:cNvPr>
        <xdr:cNvSpPr/>
      </xdr:nvSpPr>
      <xdr:spPr>
        <a:xfrm>
          <a:off x="2322513" y="144461"/>
          <a:ext cx="1310640" cy="27631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7D7D287-93FA-4632-B81E-C1A385C8653B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01-Nov-2025</a:t>
          </a:fld>
          <a:endParaRPr lang="en-US" sz="1200" b="1"/>
        </a:p>
      </xdr:txBody>
    </xdr:sp>
    <xdr:clientData/>
  </xdr:twoCellAnchor>
  <xdr:twoCellAnchor>
    <xdr:from>
      <xdr:col>10</xdr:col>
      <xdr:colOff>129540</xdr:colOff>
      <xdr:row>0</xdr:row>
      <xdr:rowOff>99060</xdr:rowOff>
    </xdr:from>
    <xdr:to>
      <xdr:col>24</xdr:col>
      <xdr:colOff>53340</xdr:colOff>
      <xdr:row>2</xdr:row>
      <xdr:rowOff>45720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FF287EC1-52FB-4F8D-AB4B-452F649573FF}"/>
            </a:ext>
          </a:extLst>
        </xdr:cNvPr>
        <xdr:cNvSpPr/>
      </xdr:nvSpPr>
      <xdr:spPr>
        <a:xfrm>
          <a:off x="6987540" y="99060"/>
          <a:ext cx="3855720" cy="31242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152400</xdr:colOff>
      <xdr:row>0</xdr:row>
      <xdr:rowOff>91440</xdr:rowOff>
    </xdr:from>
    <xdr:to>
      <xdr:col>22</xdr:col>
      <xdr:colOff>91440</xdr:colOff>
      <xdr:row>2</xdr:row>
      <xdr:rowOff>76200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6A9EEE9F-04BC-4CBB-9F1F-86E275664C4C}"/>
            </a:ext>
          </a:extLst>
        </xdr:cNvPr>
        <xdr:cNvSpPr/>
      </xdr:nvSpPr>
      <xdr:spPr>
        <a:xfrm>
          <a:off x="7284720" y="91440"/>
          <a:ext cx="2994660" cy="3505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chemeClr val="tx1"/>
              </a:solidFill>
            </a:rPr>
            <a:t>Dashboard</a:t>
          </a:r>
          <a:r>
            <a:rPr lang="en-US" sz="1400" b="1" baseline="0">
              <a:solidFill>
                <a:schemeClr val="tx1"/>
              </a:solidFill>
            </a:rPr>
            <a:t> For The Month Of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10</xdr:col>
      <xdr:colOff>121920</xdr:colOff>
      <xdr:row>0</xdr:row>
      <xdr:rowOff>106680</xdr:rowOff>
    </xdr:from>
    <xdr:to>
      <xdr:col>11</xdr:col>
      <xdr:colOff>176231</xdr:colOff>
      <xdr:row>2</xdr:row>
      <xdr:rowOff>36594</xdr:rowOff>
    </xdr:to>
    <xdr:pic>
      <xdr:nvPicPr>
        <xdr:cNvPr id="23" name="Graphic 22" descr="Research with solid fill">
          <a:extLst>
            <a:ext uri="{FF2B5EF4-FFF2-40B4-BE49-F238E27FC236}">
              <a16:creationId xmlns:a16="http://schemas.microsoft.com/office/drawing/2014/main" id="{9DF50F0E-FFFA-423C-B5C0-87A839D73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6979920" y="106680"/>
          <a:ext cx="328631" cy="295674"/>
        </a:xfrm>
        <a:prstGeom prst="rect">
          <a:avLst/>
        </a:prstGeom>
      </xdr:spPr>
    </xdr:pic>
    <xdr:clientData/>
  </xdr:twoCellAnchor>
  <xdr:twoCellAnchor>
    <xdr:from>
      <xdr:col>19</xdr:col>
      <xdr:colOff>167640</xdr:colOff>
      <xdr:row>0</xdr:row>
      <xdr:rowOff>60960</xdr:rowOff>
    </xdr:from>
    <xdr:to>
      <xdr:col>23</xdr:col>
      <xdr:colOff>228600</xdr:colOff>
      <xdr:row>2</xdr:row>
      <xdr:rowOff>45720</xdr:rowOff>
    </xdr:to>
    <xdr:sp macro="" textlink="$E$5">
      <xdr:nvSpPr>
        <xdr:cNvPr id="24" name="Rectangle: Rounded Corners 23">
          <a:extLst>
            <a:ext uri="{FF2B5EF4-FFF2-40B4-BE49-F238E27FC236}">
              <a16:creationId xmlns:a16="http://schemas.microsoft.com/office/drawing/2014/main" id="{E949DE53-7D4B-45A6-8C4C-D1F7504AAB16}"/>
            </a:ext>
          </a:extLst>
        </xdr:cNvPr>
        <xdr:cNvSpPr/>
      </xdr:nvSpPr>
      <xdr:spPr>
        <a:xfrm>
          <a:off x="9517380" y="60960"/>
          <a:ext cx="1173480" cy="3505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B9C85A59-FB1C-438C-92E4-56515B55565E}" type="TxLink">
            <a:rPr lang="en-US" sz="1600" b="1" i="0" u="none" strike="noStrike">
              <a:solidFill>
                <a:schemeClr val="accent2"/>
              </a:solidFill>
              <a:latin typeface="Calibri"/>
              <a:ea typeface="Calibri"/>
              <a:cs typeface="Calibri"/>
            </a:rPr>
            <a:pPr algn="l"/>
            <a:t>November</a:t>
          </a:fld>
          <a:endParaRPr lang="en-US" sz="1600" b="1">
            <a:solidFill>
              <a:schemeClr val="accent2"/>
            </a:solidFill>
          </a:endParaRPr>
        </a:p>
      </xdr:txBody>
    </xdr:sp>
    <xdr:clientData/>
  </xdr:twoCellAnchor>
  <xdr:twoCellAnchor>
    <xdr:from>
      <xdr:col>27</xdr:col>
      <xdr:colOff>60960</xdr:colOff>
      <xdr:row>0</xdr:row>
      <xdr:rowOff>91440</xdr:rowOff>
    </xdr:from>
    <xdr:to>
      <xdr:col>29</xdr:col>
      <xdr:colOff>53340</xdr:colOff>
      <xdr:row>2</xdr:row>
      <xdr:rowOff>7620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24121034-E6DC-4138-BA7E-1381F337F33B}"/>
            </a:ext>
          </a:extLst>
        </xdr:cNvPr>
        <xdr:cNvSpPr/>
      </xdr:nvSpPr>
      <xdr:spPr>
        <a:xfrm>
          <a:off x="11605260" y="914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🟢</a:t>
          </a:r>
        </a:p>
      </xdr:txBody>
    </xdr:sp>
    <xdr:clientData/>
  </xdr:twoCellAnchor>
  <xdr:twoCellAnchor>
    <xdr:from>
      <xdr:col>27</xdr:col>
      <xdr:colOff>23497</xdr:colOff>
      <xdr:row>0</xdr:row>
      <xdr:rowOff>67625</xdr:rowOff>
    </xdr:from>
    <xdr:to>
      <xdr:col>31</xdr:col>
      <xdr:colOff>145417</xdr:colOff>
      <xdr:row>1</xdr:row>
      <xdr:rowOff>161057</xdr:rowOff>
    </xdr:to>
    <xdr:sp macro="" textlink="$J$5">
      <xdr:nvSpPr>
        <xdr:cNvPr id="26" name="Rectangle 25">
          <a:extLst>
            <a:ext uri="{FF2B5EF4-FFF2-40B4-BE49-F238E27FC236}">
              <a16:creationId xmlns:a16="http://schemas.microsoft.com/office/drawing/2014/main" id="{20F9D509-00C4-4BF2-A44D-F3B858B97C3C}"/>
            </a:ext>
          </a:extLst>
        </xdr:cNvPr>
        <xdr:cNvSpPr/>
      </xdr:nvSpPr>
      <xdr:spPr>
        <a:xfrm>
          <a:off x="11567797" y="6762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Present</a:t>
          </a:r>
        </a:p>
      </xdr:txBody>
    </xdr:sp>
    <xdr:clientData/>
  </xdr:twoCellAnchor>
  <xdr:twoCellAnchor>
    <xdr:from>
      <xdr:col>27</xdr:col>
      <xdr:colOff>213360</xdr:colOff>
      <xdr:row>1</xdr:row>
      <xdr:rowOff>60960</xdr:rowOff>
    </xdr:from>
    <xdr:to>
      <xdr:col>29</xdr:col>
      <xdr:colOff>205740</xdr:colOff>
      <xdr:row>2</xdr:row>
      <xdr:rowOff>160020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33C3CEA7-3E20-4AB0-8E69-BE1D0868CB53}"/>
            </a:ext>
          </a:extLst>
        </xdr:cNvPr>
        <xdr:cNvSpPr/>
      </xdr:nvSpPr>
      <xdr:spPr>
        <a:xfrm>
          <a:off x="11757660" y="2438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900"/>
        </a:p>
      </xdr:txBody>
    </xdr:sp>
    <xdr:clientData/>
  </xdr:twoCellAnchor>
  <xdr:twoCellAnchor>
    <xdr:from>
      <xdr:col>34</xdr:col>
      <xdr:colOff>7620</xdr:colOff>
      <xdr:row>0</xdr:row>
      <xdr:rowOff>106680</xdr:rowOff>
    </xdr:from>
    <xdr:to>
      <xdr:col>36</xdr:col>
      <xdr:colOff>0</xdr:colOff>
      <xdr:row>2</xdr:row>
      <xdr:rowOff>22860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4357B17D-4C66-4486-B261-213001C9E028}"/>
            </a:ext>
          </a:extLst>
        </xdr:cNvPr>
        <xdr:cNvSpPr/>
      </xdr:nvSpPr>
      <xdr:spPr>
        <a:xfrm>
          <a:off x="13540740" y="10668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>
              <a:solidFill>
                <a:schemeClr val="accent2"/>
              </a:solidFill>
            </a:rPr>
            <a:t>.🟡</a:t>
          </a:r>
        </a:p>
      </xdr:txBody>
    </xdr:sp>
    <xdr:clientData/>
  </xdr:twoCellAnchor>
  <xdr:twoCellAnchor>
    <xdr:from>
      <xdr:col>33</xdr:col>
      <xdr:colOff>213997</xdr:colOff>
      <xdr:row>0</xdr:row>
      <xdr:rowOff>82865</xdr:rowOff>
    </xdr:from>
    <xdr:to>
      <xdr:col>38</xdr:col>
      <xdr:colOff>92077</xdr:colOff>
      <xdr:row>1</xdr:row>
      <xdr:rowOff>176297</xdr:rowOff>
    </xdr:to>
    <xdr:sp macro="" textlink="$J$5">
      <xdr:nvSpPr>
        <xdr:cNvPr id="29" name="Rectangle 28">
          <a:extLst>
            <a:ext uri="{FF2B5EF4-FFF2-40B4-BE49-F238E27FC236}">
              <a16:creationId xmlns:a16="http://schemas.microsoft.com/office/drawing/2014/main" id="{FD3C9A45-C190-404E-B05E-D4B2856FFA76}"/>
            </a:ext>
          </a:extLst>
        </xdr:cNvPr>
        <xdr:cNvSpPr/>
      </xdr:nvSpPr>
      <xdr:spPr>
        <a:xfrm>
          <a:off x="13503277" y="8286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Leave</a:t>
          </a:r>
        </a:p>
      </xdr:txBody>
    </xdr:sp>
    <xdr:clientData/>
  </xdr:twoCellAnchor>
  <xdr:twoCellAnchor>
    <xdr:from>
      <xdr:col>30</xdr:col>
      <xdr:colOff>167640</xdr:colOff>
      <xdr:row>0</xdr:row>
      <xdr:rowOff>91440</xdr:rowOff>
    </xdr:from>
    <xdr:to>
      <xdr:col>32</xdr:col>
      <xdr:colOff>152400</xdr:colOff>
      <xdr:row>2</xdr:row>
      <xdr:rowOff>7620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DEBFD33-073B-4AC3-971B-81039A235A4E}"/>
            </a:ext>
          </a:extLst>
        </xdr:cNvPr>
        <xdr:cNvSpPr/>
      </xdr:nvSpPr>
      <xdr:spPr>
        <a:xfrm>
          <a:off x="12580620" y="914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🔴</a:t>
          </a:r>
        </a:p>
      </xdr:txBody>
    </xdr:sp>
    <xdr:clientData/>
  </xdr:twoCellAnchor>
  <xdr:twoCellAnchor>
    <xdr:from>
      <xdr:col>30</xdr:col>
      <xdr:colOff>99697</xdr:colOff>
      <xdr:row>0</xdr:row>
      <xdr:rowOff>82865</xdr:rowOff>
    </xdr:from>
    <xdr:to>
      <xdr:col>35</xdr:col>
      <xdr:colOff>31117</xdr:colOff>
      <xdr:row>1</xdr:row>
      <xdr:rowOff>176297</xdr:rowOff>
    </xdr:to>
    <xdr:sp macro="" textlink="$J$5">
      <xdr:nvSpPr>
        <xdr:cNvPr id="31" name="Rectangle 30">
          <a:extLst>
            <a:ext uri="{FF2B5EF4-FFF2-40B4-BE49-F238E27FC236}">
              <a16:creationId xmlns:a16="http://schemas.microsoft.com/office/drawing/2014/main" id="{7196F425-8BE3-4666-B009-3C043EAB05DC}"/>
            </a:ext>
          </a:extLst>
        </xdr:cNvPr>
        <xdr:cNvSpPr/>
      </xdr:nvSpPr>
      <xdr:spPr>
        <a:xfrm>
          <a:off x="12512677" y="8286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Absent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0</xdr:rowOff>
    </xdr:from>
    <xdr:to>
      <xdr:col>41</xdr:col>
      <xdr:colOff>45720</xdr:colOff>
      <xdr:row>2</xdr:row>
      <xdr:rowOff>162365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F2E2DCE-9DDE-4991-9D09-E663E1A12488}"/>
            </a:ext>
          </a:extLst>
        </xdr:cNvPr>
        <xdr:cNvSpPr/>
      </xdr:nvSpPr>
      <xdr:spPr>
        <a:xfrm>
          <a:off x="1257300" y="0"/>
          <a:ext cx="14638020" cy="52812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45719</xdr:colOff>
      <xdr:row>33</xdr:row>
      <xdr:rowOff>160020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864AB9-9BEE-41C0-BF73-BF46DF469CF7}"/>
            </a:ext>
          </a:extLst>
        </xdr:cNvPr>
        <xdr:cNvSpPr/>
      </xdr:nvSpPr>
      <xdr:spPr>
        <a:xfrm flipH="1" flipV="1">
          <a:off x="0" y="0"/>
          <a:ext cx="1264919" cy="6271260"/>
        </a:xfrm>
        <a:prstGeom prst="rect">
          <a:avLst/>
        </a:prstGeom>
        <a:solidFill>
          <a:schemeClr val="tx1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3</xdr:row>
      <xdr:rowOff>137160</xdr:rowOff>
    </xdr:from>
    <xdr:to>
      <xdr:col>2</xdr:col>
      <xdr:colOff>464820</xdr:colOff>
      <xdr:row>5</xdr:row>
      <xdr:rowOff>76200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123EE4-8EDF-41CE-9EDB-8CD1BEDC07C1}"/>
            </a:ext>
          </a:extLst>
        </xdr:cNvPr>
        <xdr:cNvSpPr/>
      </xdr:nvSpPr>
      <xdr:spPr>
        <a:xfrm>
          <a:off x="0" y="68580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January </a:t>
          </a:r>
        </a:p>
      </xdr:txBody>
    </xdr:sp>
    <xdr:clientData/>
  </xdr:twoCellAnchor>
  <xdr:twoCellAnchor>
    <xdr:from>
      <xdr:col>0</xdr:col>
      <xdr:colOff>0</xdr:colOff>
      <xdr:row>5</xdr:row>
      <xdr:rowOff>144780</xdr:rowOff>
    </xdr:from>
    <xdr:to>
      <xdr:col>2</xdr:col>
      <xdr:colOff>464820</xdr:colOff>
      <xdr:row>7</xdr:row>
      <xdr:rowOff>76200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301C25C-63E0-42CA-8080-126958976003}"/>
            </a:ext>
          </a:extLst>
        </xdr:cNvPr>
        <xdr:cNvSpPr/>
      </xdr:nvSpPr>
      <xdr:spPr>
        <a:xfrm>
          <a:off x="0" y="1059180"/>
          <a:ext cx="1684020" cy="31242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bg1"/>
              </a:solidFill>
            </a:rPr>
            <a:t>February</a:t>
          </a:r>
          <a:r>
            <a:rPr lang="en-US" sz="1200"/>
            <a:t> </a:t>
          </a:r>
        </a:p>
      </xdr:txBody>
    </xdr:sp>
    <xdr:clientData/>
  </xdr:twoCellAnchor>
  <xdr:twoCellAnchor>
    <xdr:from>
      <xdr:col>0</xdr:col>
      <xdr:colOff>0</xdr:colOff>
      <xdr:row>7</xdr:row>
      <xdr:rowOff>137160</xdr:rowOff>
    </xdr:from>
    <xdr:to>
      <xdr:col>2</xdr:col>
      <xdr:colOff>464820</xdr:colOff>
      <xdr:row>9</xdr:row>
      <xdr:rowOff>76200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5642373-08FC-4996-94B7-A176A79CB123}"/>
            </a:ext>
          </a:extLst>
        </xdr:cNvPr>
        <xdr:cNvSpPr/>
      </xdr:nvSpPr>
      <xdr:spPr>
        <a:xfrm>
          <a:off x="0" y="1432560"/>
          <a:ext cx="1684020" cy="35814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March</a:t>
          </a:r>
        </a:p>
      </xdr:txBody>
    </xdr:sp>
    <xdr:clientData/>
  </xdr:twoCellAnchor>
  <xdr:twoCellAnchor>
    <xdr:from>
      <xdr:col>0</xdr:col>
      <xdr:colOff>0</xdr:colOff>
      <xdr:row>9</xdr:row>
      <xdr:rowOff>121920</xdr:rowOff>
    </xdr:from>
    <xdr:to>
      <xdr:col>2</xdr:col>
      <xdr:colOff>464820</xdr:colOff>
      <xdr:row>11</xdr:row>
      <xdr:rowOff>60960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DB3D34A-1116-4224-93D6-24DA833F7CB2}"/>
            </a:ext>
          </a:extLst>
        </xdr:cNvPr>
        <xdr:cNvSpPr/>
      </xdr:nvSpPr>
      <xdr:spPr>
        <a:xfrm>
          <a:off x="0" y="183642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April </a:t>
          </a:r>
        </a:p>
      </xdr:txBody>
    </xdr:sp>
    <xdr:clientData/>
  </xdr:twoCellAnchor>
  <xdr:twoCellAnchor>
    <xdr:from>
      <xdr:col>0</xdr:col>
      <xdr:colOff>0</xdr:colOff>
      <xdr:row>11</xdr:row>
      <xdr:rowOff>121920</xdr:rowOff>
    </xdr:from>
    <xdr:to>
      <xdr:col>2</xdr:col>
      <xdr:colOff>464820</xdr:colOff>
      <xdr:row>13</xdr:row>
      <xdr:rowOff>60960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99C29FC-C788-4909-9B9A-04659F922DA7}"/>
            </a:ext>
          </a:extLst>
        </xdr:cNvPr>
        <xdr:cNvSpPr/>
      </xdr:nvSpPr>
      <xdr:spPr>
        <a:xfrm>
          <a:off x="0" y="220218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May </a:t>
          </a:r>
        </a:p>
      </xdr:txBody>
    </xdr:sp>
    <xdr:clientData/>
  </xdr:twoCellAnchor>
  <xdr:twoCellAnchor>
    <xdr:from>
      <xdr:col>0</xdr:col>
      <xdr:colOff>0</xdr:colOff>
      <xdr:row>23</xdr:row>
      <xdr:rowOff>167640</xdr:rowOff>
    </xdr:from>
    <xdr:to>
      <xdr:col>2</xdr:col>
      <xdr:colOff>464820</xdr:colOff>
      <xdr:row>25</xdr:row>
      <xdr:rowOff>106680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2230384-41D2-4690-BE43-B76C5168A486}"/>
            </a:ext>
          </a:extLst>
        </xdr:cNvPr>
        <xdr:cNvSpPr/>
      </xdr:nvSpPr>
      <xdr:spPr>
        <a:xfrm>
          <a:off x="0" y="444246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November </a:t>
          </a:r>
        </a:p>
      </xdr:txBody>
    </xdr:sp>
    <xdr:clientData/>
  </xdr:twoCellAnchor>
  <xdr:twoCellAnchor>
    <xdr:from>
      <xdr:col>0</xdr:col>
      <xdr:colOff>426720</xdr:colOff>
      <xdr:row>25</xdr:row>
      <xdr:rowOff>152400</xdr:rowOff>
    </xdr:from>
    <xdr:to>
      <xdr:col>3</xdr:col>
      <xdr:colOff>281940</xdr:colOff>
      <xdr:row>27</xdr:row>
      <xdr:rowOff>91440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DFAAD04-C003-436F-A8BA-888453D719B4}"/>
            </a:ext>
          </a:extLst>
        </xdr:cNvPr>
        <xdr:cNvSpPr/>
      </xdr:nvSpPr>
      <xdr:spPr>
        <a:xfrm>
          <a:off x="426720" y="4792980"/>
          <a:ext cx="1684020" cy="3048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tx1"/>
              </a:solidFill>
              <a:latin typeface="+mn-lt"/>
              <a:ea typeface="+mn-ea"/>
              <a:cs typeface="+mn-cs"/>
            </a:rPr>
            <a:t>December </a:t>
          </a:r>
        </a:p>
      </xdr:txBody>
    </xdr:sp>
    <xdr:clientData/>
  </xdr:twoCellAnchor>
  <xdr:twoCellAnchor>
    <xdr:from>
      <xdr:col>0</xdr:col>
      <xdr:colOff>0</xdr:colOff>
      <xdr:row>13</xdr:row>
      <xdr:rowOff>121920</xdr:rowOff>
    </xdr:from>
    <xdr:to>
      <xdr:col>2</xdr:col>
      <xdr:colOff>464820</xdr:colOff>
      <xdr:row>15</xdr:row>
      <xdr:rowOff>60960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1328EBE-E089-4BF2-B641-EAE350FDAEEE}"/>
            </a:ext>
          </a:extLst>
        </xdr:cNvPr>
        <xdr:cNvSpPr/>
      </xdr:nvSpPr>
      <xdr:spPr>
        <a:xfrm>
          <a:off x="0" y="256794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bg1"/>
              </a:solidFill>
            </a:rPr>
            <a:t>June</a:t>
          </a:r>
          <a:endParaRPr lang="en-US" sz="1200"/>
        </a:p>
      </xdr:txBody>
    </xdr:sp>
    <xdr:clientData/>
  </xdr:twoCellAnchor>
  <xdr:twoCellAnchor>
    <xdr:from>
      <xdr:col>0</xdr:col>
      <xdr:colOff>0</xdr:colOff>
      <xdr:row>15</xdr:row>
      <xdr:rowOff>129540</xdr:rowOff>
    </xdr:from>
    <xdr:to>
      <xdr:col>2</xdr:col>
      <xdr:colOff>464820</xdr:colOff>
      <xdr:row>17</xdr:row>
      <xdr:rowOff>68580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856FB91-B592-4079-9427-F767D3A87C22}"/>
            </a:ext>
          </a:extLst>
        </xdr:cNvPr>
        <xdr:cNvSpPr/>
      </xdr:nvSpPr>
      <xdr:spPr>
        <a:xfrm>
          <a:off x="0" y="294132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July</a:t>
          </a:r>
        </a:p>
      </xdr:txBody>
    </xdr:sp>
    <xdr:clientData/>
  </xdr:twoCellAnchor>
  <xdr:twoCellAnchor>
    <xdr:from>
      <xdr:col>0</xdr:col>
      <xdr:colOff>0</xdr:colOff>
      <xdr:row>17</xdr:row>
      <xdr:rowOff>137160</xdr:rowOff>
    </xdr:from>
    <xdr:to>
      <xdr:col>2</xdr:col>
      <xdr:colOff>464820</xdr:colOff>
      <xdr:row>19</xdr:row>
      <xdr:rowOff>76200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FCFC00F-10DB-4B9B-8509-EFAA08E21A18}"/>
            </a:ext>
          </a:extLst>
        </xdr:cNvPr>
        <xdr:cNvSpPr/>
      </xdr:nvSpPr>
      <xdr:spPr>
        <a:xfrm>
          <a:off x="0" y="331470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August</a:t>
          </a:r>
        </a:p>
      </xdr:txBody>
    </xdr:sp>
    <xdr:clientData/>
  </xdr:twoCellAnchor>
  <xdr:twoCellAnchor>
    <xdr:from>
      <xdr:col>0</xdr:col>
      <xdr:colOff>0</xdr:colOff>
      <xdr:row>19</xdr:row>
      <xdr:rowOff>144780</xdr:rowOff>
    </xdr:from>
    <xdr:to>
      <xdr:col>2</xdr:col>
      <xdr:colOff>464820</xdr:colOff>
      <xdr:row>21</xdr:row>
      <xdr:rowOff>83820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89B5C59-935D-45BC-BBF7-F15B22205309}"/>
            </a:ext>
          </a:extLst>
        </xdr:cNvPr>
        <xdr:cNvSpPr/>
      </xdr:nvSpPr>
      <xdr:spPr>
        <a:xfrm>
          <a:off x="0" y="368808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September</a:t>
          </a:r>
        </a:p>
      </xdr:txBody>
    </xdr:sp>
    <xdr:clientData/>
  </xdr:twoCellAnchor>
  <xdr:twoCellAnchor>
    <xdr:from>
      <xdr:col>0</xdr:col>
      <xdr:colOff>0</xdr:colOff>
      <xdr:row>21</xdr:row>
      <xdr:rowOff>152400</xdr:rowOff>
    </xdr:from>
    <xdr:to>
      <xdr:col>2</xdr:col>
      <xdr:colOff>464820</xdr:colOff>
      <xdr:row>23</xdr:row>
      <xdr:rowOff>91440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3F2E79E4-C77A-494B-ACC6-E29BFC02A8E8}"/>
            </a:ext>
          </a:extLst>
        </xdr:cNvPr>
        <xdr:cNvSpPr/>
      </xdr:nvSpPr>
      <xdr:spPr>
        <a:xfrm>
          <a:off x="0" y="406146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October</a:t>
          </a:r>
        </a:p>
      </xdr:txBody>
    </xdr:sp>
    <xdr:clientData/>
  </xdr:twoCellAnchor>
  <xdr:twoCellAnchor>
    <xdr:from>
      <xdr:col>42</xdr:col>
      <xdr:colOff>11723</xdr:colOff>
      <xdr:row>0</xdr:row>
      <xdr:rowOff>0</xdr:rowOff>
    </xdr:from>
    <xdr:to>
      <xdr:col>56</xdr:col>
      <xdr:colOff>730250</xdr:colOff>
      <xdr:row>2</xdr:row>
      <xdr:rowOff>175847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F9C9AE8C-3326-4473-8843-DA850B93269F}"/>
            </a:ext>
          </a:extLst>
        </xdr:cNvPr>
        <xdr:cNvSpPr/>
      </xdr:nvSpPr>
      <xdr:spPr>
        <a:xfrm>
          <a:off x="16470923" y="0"/>
          <a:ext cx="11630367" cy="541607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  <a:prstDash val="solid"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3600" b="1">
              <a:solidFill>
                <a:schemeClr val="tx1"/>
              </a:solidFill>
              <a:latin typeface="Aparajita" panose="02020603050405020304" pitchFamily="18" charset="0"/>
              <a:cs typeface="Aparajita" panose="02020603050405020304" pitchFamily="18" charset="0"/>
            </a:rPr>
            <a:t>Monthly  Report</a:t>
          </a:r>
        </a:p>
      </xdr:txBody>
    </xdr:sp>
    <xdr:clientData/>
  </xdr:twoCellAnchor>
  <xdr:twoCellAnchor>
    <xdr:from>
      <xdr:col>6</xdr:col>
      <xdr:colOff>396876</xdr:colOff>
      <xdr:row>0</xdr:row>
      <xdr:rowOff>126999</xdr:rowOff>
    </xdr:from>
    <xdr:to>
      <xdr:col>7</xdr:col>
      <xdr:colOff>474042</xdr:colOff>
      <xdr:row>2</xdr:row>
      <xdr:rowOff>39687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9E9FDC97-370A-4504-912D-406BB7F878E7}"/>
            </a:ext>
          </a:extLst>
        </xdr:cNvPr>
        <xdr:cNvSpPr/>
      </xdr:nvSpPr>
      <xdr:spPr>
        <a:xfrm>
          <a:off x="3879216" y="126999"/>
          <a:ext cx="1060146" cy="278448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To</a:t>
          </a:r>
        </a:p>
      </xdr:txBody>
    </xdr:sp>
    <xdr:clientData/>
  </xdr:twoCellAnchor>
  <xdr:twoCellAnchor>
    <xdr:from>
      <xdr:col>7</xdr:col>
      <xdr:colOff>461964</xdr:colOff>
      <xdr:row>0</xdr:row>
      <xdr:rowOff>128585</xdr:rowOff>
    </xdr:from>
    <xdr:to>
      <xdr:col>8</xdr:col>
      <xdr:colOff>500064</xdr:colOff>
      <xdr:row>2</xdr:row>
      <xdr:rowOff>39137</xdr:rowOff>
    </xdr:to>
    <xdr:sp macro="" textlink="$J$5">
      <xdr:nvSpPr>
        <xdr:cNvPr id="18" name="Rectangle 17">
          <a:extLst>
            <a:ext uri="{FF2B5EF4-FFF2-40B4-BE49-F238E27FC236}">
              <a16:creationId xmlns:a16="http://schemas.microsoft.com/office/drawing/2014/main" id="{7ED11BDC-4246-4DF8-81CD-D391EC065429}"/>
            </a:ext>
          </a:extLst>
        </xdr:cNvPr>
        <xdr:cNvSpPr/>
      </xdr:nvSpPr>
      <xdr:spPr>
        <a:xfrm>
          <a:off x="4927284" y="128585"/>
          <a:ext cx="1325880" cy="27631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EDA3192-0DC9-41BE-8537-F40AE859E52F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31-Dec-2025</a:t>
          </a:fld>
          <a:endParaRPr lang="en-US" sz="1200" b="1"/>
        </a:p>
      </xdr:txBody>
    </xdr:sp>
    <xdr:clientData/>
  </xdr:twoCellAnchor>
  <xdr:twoCellAnchor>
    <xdr:from>
      <xdr:col>2</xdr:col>
      <xdr:colOff>39688</xdr:colOff>
      <xdr:row>0</xdr:row>
      <xdr:rowOff>142875</xdr:rowOff>
    </xdr:from>
    <xdr:to>
      <xdr:col>3</xdr:col>
      <xdr:colOff>481979</xdr:colOff>
      <xdr:row>2</xdr:row>
      <xdr:rowOff>55563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B18A9EE8-086C-4212-AD25-888B22B314BE}"/>
            </a:ext>
          </a:extLst>
        </xdr:cNvPr>
        <xdr:cNvSpPr/>
      </xdr:nvSpPr>
      <xdr:spPr>
        <a:xfrm>
          <a:off x="1258888" y="142875"/>
          <a:ext cx="1051891" cy="278448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From</a:t>
          </a:r>
        </a:p>
      </xdr:txBody>
    </xdr:sp>
    <xdr:clientData/>
  </xdr:twoCellAnchor>
  <xdr:twoCellAnchor>
    <xdr:from>
      <xdr:col>3</xdr:col>
      <xdr:colOff>493713</xdr:colOff>
      <xdr:row>0</xdr:row>
      <xdr:rowOff>144461</xdr:rowOff>
    </xdr:from>
    <xdr:to>
      <xdr:col>6</xdr:col>
      <xdr:colOff>150813</xdr:colOff>
      <xdr:row>2</xdr:row>
      <xdr:rowOff>55013</xdr:rowOff>
    </xdr:to>
    <xdr:sp macro="" textlink="$G$5">
      <xdr:nvSpPr>
        <xdr:cNvPr id="20" name="Rectangle 19">
          <a:extLst>
            <a:ext uri="{FF2B5EF4-FFF2-40B4-BE49-F238E27FC236}">
              <a16:creationId xmlns:a16="http://schemas.microsoft.com/office/drawing/2014/main" id="{A20537AA-3D8B-49F2-A606-2C67E75F8AFF}"/>
            </a:ext>
          </a:extLst>
        </xdr:cNvPr>
        <xdr:cNvSpPr/>
      </xdr:nvSpPr>
      <xdr:spPr>
        <a:xfrm>
          <a:off x="2322513" y="144461"/>
          <a:ext cx="1310640" cy="27631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7D7D287-93FA-4632-B81E-C1A385C8653B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01-Dec-2025</a:t>
          </a:fld>
          <a:endParaRPr lang="en-US" sz="1200" b="1"/>
        </a:p>
      </xdr:txBody>
    </xdr:sp>
    <xdr:clientData/>
  </xdr:twoCellAnchor>
  <xdr:twoCellAnchor>
    <xdr:from>
      <xdr:col>10</xdr:col>
      <xdr:colOff>129540</xdr:colOff>
      <xdr:row>0</xdr:row>
      <xdr:rowOff>99060</xdr:rowOff>
    </xdr:from>
    <xdr:to>
      <xdr:col>24</xdr:col>
      <xdr:colOff>53340</xdr:colOff>
      <xdr:row>2</xdr:row>
      <xdr:rowOff>45720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EE0F0718-F45D-4B91-8D1E-10E40D01388F}"/>
            </a:ext>
          </a:extLst>
        </xdr:cNvPr>
        <xdr:cNvSpPr/>
      </xdr:nvSpPr>
      <xdr:spPr>
        <a:xfrm>
          <a:off x="6987540" y="99060"/>
          <a:ext cx="3855720" cy="31242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152400</xdr:colOff>
      <xdr:row>0</xdr:row>
      <xdr:rowOff>91440</xdr:rowOff>
    </xdr:from>
    <xdr:to>
      <xdr:col>22</xdr:col>
      <xdr:colOff>91440</xdr:colOff>
      <xdr:row>2</xdr:row>
      <xdr:rowOff>76200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F3D1ECF5-B522-402B-9C63-E7EA1D360B68}"/>
            </a:ext>
          </a:extLst>
        </xdr:cNvPr>
        <xdr:cNvSpPr/>
      </xdr:nvSpPr>
      <xdr:spPr>
        <a:xfrm>
          <a:off x="7284720" y="91440"/>
          <a:ext cx="2994660" cy="3505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chemeClr val="tx1"/>
              </a:solidFill>
            </a:rPr>
            <a:t>Dashboard</a:t>
          </a:r>
          <a:r>
            <a:rPr lang="en-US" sz="1400" b="1" baseline="0">
              <a:solidFill>
                <a:schemeClr val="tx1"/>
              </a:solidFill>
            </a:rPr>
            <a:t> For The Month Of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10</xdr:col>
      <xdr:colOff>121920</xdr:colOff>
      <xdr:row>0</xdr:row>
      <xdr:rowOff>106680</xdr:rowOff>
    </xdr:from>
    <xdr:to>
      <xdr:col>11</xdr:col>
      <xdr:colOff>176231</xdr:colOff>
      <xdr:row>2</xdr:row>
      <xdr:rowOff>36594</xdr:rowOff>
    </xdr:to>
    <xdr:pic>
      <xdr:nvPicPr>
        <xdr:cNvPr id="23" name="Graphic 22" descr="Research with solid fill">
          <a:extLst>
            <a:ext uri="{FF2B5EF4-FFF2-40B4-BE49-F238E27FC236}">
              <a16:creationId xmlns:a16="http://schemas.microsoft.com/office/drawing/2014/main" id="{09650C48-BDE9-4B7E-8500-1D2CFF1C9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6979920" y="106680"/>
          <a:ext cx="328631" cy="295674"/>
        </a:xfrm>
        <a:prstGeom prst="rect">
          <a:avLst/>
        </a:prstGeom>
      </xdr:spPr>
    </xdr:pic>
    <xdr:clientData/>
  </xdr:twoCellAnchor>
  <xdr:twoCellAnchor>
    <xdr:from>
      <xdr:col>19</xdr:col>
      <xdr:colOff>167640</xdr:colOff>
      <xdr:row>0</xdr:row>
      <xdr:rowOff>60960</xdr:rowOff>
    </xdr:from>
    <xdr:to>
      <xdr:col>23</xdr:col>
      <xdr:colOff>228600</xdr:colOff>
      <xdr:row>2</xdr:row>
      <xdr:rowOff>45720</xdr:rowOff>
    </xdr:to>
    <xdr:sp macro="" textlink="$E$5">
      <xdr:nvSpPr>
        <xdr:cNvPr id="24" name="Rectangle: Rounded Corners 23">
          <a:extLst>
            <a:ext uri="{FF2B5EF4-FFF2-40B4-BE49-F238E27FC236}">
              <a16:creationId xmlns:a16="http://schemas.microsoft.com/office/drawing/2014/main" id="{F0DAA195-3AC5-46AE-ACB4-DCC81ECCD351}"/>
            </a:ext>
          </a:extLst>
        </xdr:cNvPr>
        <xdr:cNvSpPr/>
      </xdr:nvSpPr>
      <xdr:spPr>
        <a:xfrm>
          <a:off x="9517380" y="60960"/>
          <a:ext cx="1173480" cy="3505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B9C85A59-FB1C-438C-92E4-56515B55565E}" type="TxLink">
            <a:rPr lang="en-US" sz="1600" b="1" i="0" u="none" strike="noStrike">
              <a:solidFill>
                <a:schemeClr val="accent2"/>
              </a:solidFill>
              <a:latin typeface="Calibri"/>
              <a:ea typeface="Calibri"/>
              <a:cs typeface="Calibri"/>
            </a:rPr>
            <a:pPr algn="l"/>
            <a:t>December</a:t>
          </a:fld>
          <a:endParaRPr lang="en-US" sz="1600" b="1">
            <a:solidFill>
              <a:schemeClr val="accent2"/>
            </a:solidFill>
          </a:endParaRPr>
        </a:p>
      </xdr:txBody>
    </xdr:sp>
    <xdr:clientData/>
  </xdr:twoCellAnchor>
  <xdr:twoCellAnchor>
    <xdr:from>
      <xdr:col>27</xdr:col>
      <xdr:colOff>60960</xdr:colOff>
      <xdr:row>0</xdr:row>
      <xdr:rowOff>91440</xdr:rowOff>
    </xdr:from>
    <xdr:to>
      <xdr:col>29</xdr:col>
      <xdr:colOff>53340</xdr:colOff>
      <xdr:row>2</xdr:row>
      <xdr:rowOff>7620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B75BE82A-6B92-4315-AF34-42EA99AFAEC2}"/>
            </a:ext>
          </a:extLst>
        </xdr:cNvPr>
        <xdr:cNvSpPr/>
      </xdr:nvSpPr>
      <xdr:spPr>
        <a:xfrm>
          <a:off x="11605260" y="914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🟢</a:t>
          </a:r>
        </a:p>
      </xdr:txBody>
    </xdr:sp>
    <xdr:clientData/>
  </xdr:twoCellAnchor>
  <xdr:twoCellAnchor>
    <xdr:from>
      <xdr:col>27</xdr:col>
      <xdr:colOff>23497</xdr:colOff>
      <xdr:row>0</xdr:row>
      <xdr:rowOff>67625</xdr:rowOff>
    </xdr:from>
    <xdr:to>
      <xdr:col>31</xdr:col>
      <xdr:colOff>145417</xdr:colOff>
      <xdr:row>1</xdr:row>
      <xdr:rowOff>161057</xdr:rowOff>
    </xdr:to>
    <xdr:sp macro="" textlink="$J$5">
      <xdr:nvSpPr>
        <xdr:cNvPr id="26" name="Rectangle 25">
          <a:extLst>
            <a:ext uri="{FF2B5EF4-FFF2-40B4-BE49-F238E27FC236}">
              <a16:creationId xmlns:a16="http://schemas.microsoft.com/office/drawing/2014/main" id="{35DD7BEB-47CA-4741-BCF9-C88961833DFA}"/>
            </a:ext>
          </a:extLst>
        </xdr:cNvPr>
        <xdr:cNvSpPr/>
      </xdr:nvSpPr>
      <xdr:spPr>
        <a:xfrm>
          <a:off x="11567797" y="6762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Present</a:t>
          </a:r>
        </a:p>
      </xdr:txBody>
    </xdr:sp>
    <xdr:clientData/>
  </xdr:twoCellAnchor>
  <xdr:twoCellAnchor>
    <xdr:from>
      <xdr:col>27</xdr:col>
      <xdr:colOff>213360</xdr:colOff>
      <xdr:row>1</xdr:row>
      <xdr:rowOff>60960</xdr:rowOff>
    </xdr:from>
    <xdr:to>
      <xdr:col>29</xdr:col>
      <xdr:colOff>205740</xdr:colOff>
      <xdr:row>2</xdr:row>
      <xdr:rowOff>160020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5778152D-B861-4489-A142-BB920274188F}"/>
            </a:ext>
          </a:extLst>
        </xdr:cNvPr>
        <xdr:cNvSpPr/>
      </xdr:nvSpPr>
      <xdr:spPr>
        <a:xfrm>
          <a:off x="11757660" y="2438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900"/>
        </a:p>
      </xdr:txBody>
    </xdr:sp>
    <xdr:clientData/>
  </xdr:twoCellAnchor>
  <xdr:twoCellAnchor>
    <xdr:from>
      <xdr:col>34</xdr:col>
      <xdr:colOff>7620</xdr:colOff>
      <xdr:row>0</xdr:row>
      <xdr:rowOff>106680</xdr:rowOff>
    </xdr:from>
    <xdr:to>
      <xdr:col>36</xdr:col>
      <xdr:colOff>0</xdr:colOff>
      <xdr:row>2</xdr:row>
      <xdr:rowOff>22860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AF34C265-FA07-467D-A84B-9E6D689EC247}"/>
            </a:ext>
          </a:extLst>
        </xdr:cNvPr>
        <xdr:cNvSpPr/>
      </xdr:nvSpPr>
      <xdr:spPr>
        <a:xfrm>
          <a:off x="13540740" y="10668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>
              <a:solidFill>
                <a:schemeClr val="accent2"/>
              </a:solidFill>
            </a:rPr>
            <a:t>.🟡</a:t>
          </a:r>
        </a:p>
      </xdr:txBody>
    </xdr:sp>
    <xdr:clientData/>
  </xdr:twoCellAnchor>
  <xdr:twoCellAnchor>
    <xdr:from>
      <xdr:col>33</xdr:col>
      <xdr:colOff>213997</xdr:colOff>
      <xdr:row>0</xdr:row>
      <xdr:rowOff>82865</xdr:rowOff>
    </xdr:from>
    <xdr:to>
      <xdr:col>38</xdr:col>
      <xdr:colOff>92077</xdr:colOff>
      <xdr:row>1</xdr:row>
      <xdr:rowOff>176297</xdr:rowOff>
    </xdr:to>
    <xdr:sp macro="" textlink="$J$5">
      <xdr:nvSpPr>
        <xdr:cNvPr id="29" name="Rectangle 28">
          <a:extLst>
            <a:ext uri="{FF2B5EF4-FFF2-40B4-BE49-F238E27FC236}">
              <a16:creationId xmlns:a16="http://schemas.microsoft.com/office/drawing/2014/main" id="{80E21950-0686-4896-85D6-7A5C92320AB8}"/>
            </a:ext>
          </a:extLst>
        </xdr:cNvPr>
        <xdr:cNvSpPr/>
      </xdr:nvSpPr>
      <xdr:spPr>
        <a:xfrm>
          <a:off x="13503277" y="8286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Leave</a:t>
          </a:r>
        </a:p>
      </xdr:txBody>
    </xdr:sp>
    <xdr:clientData/>
  </xdr:twoCellAnchor>
  <xdr:twoCellAnchor>
    <xdr:from>
      <xdr:col>30</xdr:col>
      <xdr:colOff>167640</xdr:colOff>
      <xdr:row>0</xdr:row>
      <xdr:rowOff>91440</xdr:rowOff>
    </xdr:from>
    <xdr:to>
      <xdr:col>32</xdr:col>
      <xdr:colOff>152400</xdr:colOff>
      <xdr:row>2</xdr:row>
      <xdr:rowOff>7620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5112E056-C2ED-4F9B-953A-660F0A9296F1}"/>
            </a:ext>
          </a:extLst>
        </xdr:cNvPr>
        <xdr:cNvSpPr/>
      </xdr:nvSpPr>
      <xdr:spPr>
        <a:xfrm>
          <a:off x="12580620" y="914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🔴</a:t>
          </a:r>
        </a:p>
      </xdr:txBody>
    </xdr:sp>
    <xdr:clientData/>
  </xdr:twoCellAnchor>
  <xdr:twoCellAnchor>
    <xdr:from>
      <xdr:col>30</xdr:col>
      <xdr:colOff>99697</xdr:colOff>
      <xdr:row>0</xdr:row>
      <xdr:rowOff>82865</xdr:rowOff>
    </xdr:from>
    <xdr:to>
      <xdr:col>35</xdr:col>
      <xdr:colOff>31117</xdr:colOff>
      <xdr:row>1</xdr:row>
      <xdr:rowOff>176297</xdr:rowOff>
    </xdr:to>
    <xdr:sp macro="" textlink="$J$5">
      <xdr:nvSpPr>
        <xdr:cNvPr id="31" name="Rectangle 30">
          <a:extLst>
            <a:ext uri="{FF2B5EF4-FFF2-40B4-BE49-F238E27FC236}">
              <a16:creationId xmlns:a16="http://schemas.microsoft.com/office/drawing/2014/main" id="{99DF96B9-A691-480D-9CE8-836D8EDE5708}"/>
            </a:ext>
          </a:extLst>
        </xdr:cNvPr>
        <xdr:cNvSpPr/>
      </xdr:nvSpPr>
      <xdr:spPr>
        <a:xfrm>
          <a:off x="12512677" y="8286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Absent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8B8A97-8348-4D1E-8805-ED41F07499F8}" name="Table2" displayName="Table2" ref="AQ8:BE28" totalsRowShown="0" headerRowDxfId="528" headerRowBorderDxfId="527" tableBorderDxfId="526">
  <autoFilter ref="AQ8:BE28" xr:uid="{458B8A97-8348-4D1E-8805-ED41F07499F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A90BDB4F-1FA3-4696-B062-08BEC796E8D7}" name="S No " dataDxfId="525"/>
    <tableColumn id="2" xr3:uid="{F11569E5-DAF4-4A1E-80C4-025FAC770F47}" name="Employee Id" dataDxfId="524"/>
    <tableColumn id="3" xr3:uid="{F77A71CC-F9FD-4F62-B8C8-E22A88506527}" name="Month" dataDxfId="523">
      <calculatedColumnFormula>$E$5</calculatedColumnFormula>
    </tableColumn>
    <tableColumn id="4" xr3:uid="{CC06F453-A7B3-45D7-AC1D-9903263DEE73}" name="Employee Name" dataDxfId="522"/>
    <tableColumn id="5" xr3:uid="{941B7E48-3808-4DB6-9F5A-5C4C597C63D0}" name="Present" dataDxfId="521">
      <calculatedColumnFormula>COUNTIF($J9:$AN9,"P")</calculatedColumnFormula>
    </tableColumn>
    <tableColumn id="6" xr3:uid="{1B763AEB-B414-4755-9F1A-16222C387D41}" name="Absent">
      <calculatedColumnFormula>COUNTIF($J9:$AN9,"A")</calculatedColumnFormula>
    </tableColumn>
    <tableColumn id="7" xr3:uid="{3E5C19CD-C25C-4ABA-8F39-5F3E892F4DE8}" name="Leave">
      <calculatedColumnFormula>COUNTIF($J9:$AN9,"L")</calculatedColumnFormula>
    </tableColumn>
    <tableColumn id="8" xr3:uid="{08ECB4A3-610F-425B-934D-7636784BF0A5}" name="Week Off">
      <calculatedColumnFormula>$I$9</calculatedColumnFormula>
    </tableColumn>
    <tableColumn id="9" xr3:uid="{F32A1B28-5C46-424E-835E-91DB3D5E030C}" name="Days" dataDxfId="520">
      <calculatedColumnFormula>$H$5</calculatedColumnFormula>
    </tableColumn>
    <tableColumn id="10" xr3:uid="{4C0EDD05-208C-4EF9-8A35-00B0E3BF7F69}" name=" Paid Days" dataDxfId="519">
      <calculatedColumnFormula>AY9-AV9</calculatedColumnFormula>
    </tableColumn>
    <tableColumn id="11" xr3:uid="{FF396C2F-93E9-4D2F-9B16-E7C4184B293F}" name="Salary" dataDxfId="518">
      <calculatedColumnFormula>RANDBETWEEN(10000,50000)</calculatedColumnFormula>
    </tableColumn>
    <tableColumn id="12" xr3:uid="{A1488D6A-2211-4AE5-9208-FF04CF9959E2}" name="Per day Salary" dataDxfId="517">
      <calculatedColumnFormula>BA9/AZ9</calculatedColumnFormula>
    </tableColumn>
    <tableColumn id="13" xr3:uid="{5A1D8D12-4F95-48E6-ADB2-4CFB9F73F75B}" name="Deduction" dataDxfId="516">
      <calculatedColumnFormula>BB9*AV9</calculatedColumnFormula>
    </tableColumn>
    <tableColumn id="14" xr3:uid="{9725ABBB-81B7-45C5-8899-37B18DF653B4}" name="Total Salary" dataDxfId="515">
      <calculatedColumnFormula>BA9-BC9</calculatedColumnFormula>
    </tableColumn>
    <tableColumn id="15" xr3:uid="{9F5E9BD7-E48B-4D64-BAA6-A30E5B3EA48D}" name="Sparkline"/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0565F4-614D-4F85-A50B-BF7EDB666183}" name="Table3" displayName="Table3" ref="AQ8:BE28" totalsRowShown="0" headerRowDxfId="514" headerRowBorderDxfId="513" tableBorderDxfId="512">
  <autoFilter ref="AQ8:BE28" xr:uid="{DE0565F4-614D-4F85-A50B-BF7EDB66618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C764C152-DFBF-4608-8254-69241FBA56AA}" name="S No " dataDxfId="511"/>
    <tableColumn id="2" xr3:uid="{A33DD5F1-4C1E-4EBA-B881-5D296100F4BD}" name="Employee Id" dataDxfId="510"/>
    <tableColumn id="3" xr3:uid="{9CFC6E32-1152-4CE4-B564-DF6DD59D0154}" name="Month" dataDxfId="509">
      <calculatedColumnFormula>$E$5</calculatedColumnFormula>
    </tableColumn>
    <tableColumn id="4" xr3:uid="{38A149CC-3CD1-4483-ABEF-3017A191BA23}" name="Employee Name" dataDxfId="508"/>
    <tableColumn id="5" xr3:uid="{2124580C-5F16-4B48-B9C3-4636C11D8B08}" name="Present" dataDxfId="507">
      <calculatedColumnFormula>COUNTIF($J9:$AN9,"P")</calculatedColumnFormula>
    </tableColumn>
    <tableColumn id="6" xr3:uid="{840F3C30-5FAB-4BF8-87A6-B81D9A2E4CA1}" name="Absent">
      <calculatedColumnFormula>COUNTIF($J9:$AN9,"A")</calculatedColumnFormula>
    </tableColumn>
    <tableColumn id="7" xr3:uid="{99118BE5-00B2-4427-A3BA-F2186734101C}" name="Leave">
      <calculatedColumnFormula>COUNTIF($J9:$AN9,"L")</calculatedColumnFormula>
    </tableColumn>
    <tableColumn id="8" xr3:uid="{938EC82F-9361-44AA-AD1F-F4F81E27BE00}" name="Week Off">
      <calculatedColumnFormula>$I$9</calculatedColumnFormula>
    </tableColumn>
    <tableColumn id="9" xr3:uid="{1CE544AE-F8F9-4772-88E2-7B823E6311C5}" name="Days" dataDxfId="506">
      <calculatedColumnFormula>$H$5</calculatedColumnFormula>
    </tableColumn>
    <tableColumn id="10" xr3:uid="{67257D2B-3FE0-4DFC-BB88-EDDE9251166C}" name=" Paid Days" dataDxfId="505">
      <calculatedColumnFormula>AY9-AV9</calculatedColumnFormula>
    </tableColumn>
    <tableColumn id="11" xr3:uid="{DF46467E-E7A5-4AE8-85E0-4D115C4BDFB4}" name="Salary" dataDxfId="504">
      <calculatedColumnFormula>RANDBETWEEN(10000,50000)</calculatedColumnFormula>
    </tableColumn>
    <tableColumn id="12" xr3:uid="{7288A635-8DA3-43D4-8CFA-B039101BB75F}" name="Per day Salary" dataDxfId="503">
      <calculatedColumnFormula>BA9/AZ9</calculatedColumnFormula>
    </tableColumn>
    <tableColumn id="13" xr3:uid="{6F6019FB-4940-4CE9-AA59-482313F300BE}" name="Deduction" dataDxfId="502">
      <calculatedColumnFormula>BB9*AV9</calculatedColumnFormula>
    </tableColumn>
    <tableColumn id="14" xr3:uid="{BB6F46FF-D7FA-468F-884E-EFD9452D0DF2}" name="Total Salary" dataDxfId="501">
      <calculatedColumnFormula>BA9-BC9</calculatedColumnFormula>
    </tableColumn>
    <tableColumn id="15" xr3:uid="{58A649D6-88C9-4420-9993-25E986B34444}" name="Sparkline"/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93DE243-9E57-4ECD-849F-03A203CF6A08}" name="Table4" displayName="Table4" ref="AQ8:BE28" totalsRowShown="0" headerRowDxfId="500" headerRowBorderDxfId="499" tableBorderDxfId="498">
  <autoFilter ref="AQ8:BE28" xr:uid="{C93DE243-9E57-4ECD-849F-03A203CF6A0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1AAC140E-501D-4F8B-98F5-09A6B66D4715}" name="S No " dataDxfId="497"/>
    <tableColumn id="2" xr3:uid="{34508028-A87A-4D68-8828-8B6A24F90EBE}" name="Employee Id" dataDxfId="496"/>
    <tableColumn id="3" xr3:uid="{DA518800-62AB-42AE-AB43-D46B34252898}" name="Month" dataDxfId="495">
      <calculatedColumnFormula>$E$5</calculatedColumnFormula>
    </tableColumn>
    <tableColumn id="4" xr3:uid="{F5900F5B-CF52-4F66-AB31-47753754942F}" name="Employee Name" dataDxfId="494"/>
    <tableColumn id="5" xr3:uid="{160E4534-3A38-41E2-9006-70F9BECC088C}" name="Present" dataDxfId="493">
      <calculatedColumnFormula>COUNTIF($J9:$AN9,"P")</calculatedColumnFormula>
    </tableColumn>
    <tableColumn id="6" xr3:uid="{CCD4F8E9-A471-4E79-8F93-8105D05203F7}" name="Absent">
      <calculatedColumnFormula>COUNTIF($J9:$AN9,"A")</calculatedColumnFormula>
    </tableColumn>
    <tableColumn id="7" xr3:uid="{7C8CA3E7-AFF7-4448-A90E-C5FC18BDAE8E}" name="Leave">
      <calculatedColumnFormula>COUNTIF($J9:$AN9,"L")</calculatedColumnFormula>
    </tableColumn>
    <tableColumn id="8" xr3:uid="{5D8C2C8F-C515-4898-B214-EBD516E6F97E}" name="Week Off">
      <calculatedColumnFormula>$I$9</calculatedColumnFormula>
    </tableColumn>
    <tableColumn id="9" xr3:uid="{E60B568F-52E6-42D4-9A76-5D9CA1FCAD1E}" name="Days" dataDxfId="492">
      <calculatedColumnFormula>$H$5</calculatedColumnFormula>
    </tableColumn>
    <tableColumn id="10" xr3:uid="{D3C06744-250A-4ACD-B4EC-BC239F9725C0}" name=" Paid Days" dataDxfId="491">
      <calculatedColumnFormula>AY9-AV9</calculatedColumnFormula>
    </tableColumn>
    <tableColumn id="11" xr3:uid="{36812F7E-8005-4C29-8F7A-6494795EEB52}" name="Salary" dataDxfId="490">
      <calculatedColumnFormula>RANDBETWEEN(10000,50000)</calculatedColumnFormula>
    </tableColumn>
    <tableColumn id="12" xr3:uid="{23C4327B-2428-43A3-933F-A366DD973F9A}" name="Per day Salary" dataDxfId="489">
      <calculatedColumnFormula>BA9/AZ9</calculatedColumnFormula>
    </tableColumn>
    <tableColumn id="13" xr3:uid="{E384DAB0-84C7-43EE-AB59-B7DB5E2CC407}" name="Deduction" dataDxfId="488">
      <calculatedColumnFormula>BB9*AV9</calculatedColumnFormula>
    </tableColumn>
    <tableColumn id="14" xr3:uid="{51D11C12-EE64-44CC-A9E7-6CEB2BF72CC7}" name="Total Salary" dataDxfId="487">
      <calculatedColumnFormula>BA9-BC9</calculatedColumnFormula>
    </tableColumn>
    <tableColumn id="15" xr3:uid="{215D1DC6-73FB-4D6B-B579-4FE968D2B5CF}" name="Sparkline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3CF571-96C5-4B68-9937-93F70C372C3A}" name="Table5" displayName="Table5" ref="AQ8:BE28" totalsRowShown="0" headerRowDxfId="542" headerRowBorderDxfId="541" tableBorderDxfId="540">
  <autoFilter ref="AQ8:BE28" xr:uid="{343CF571-96C5-4B68-9937-93F70C372C3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69A1EC2F-9779-4A9C-A6F6-E4C36D06135D}" name="S No " dataDxfId="539"/>
    <tableColumn id="2" xr3:uid="{E1A1C311-288E-4715-8BAE-9F55AAFF3CA1}" name="Employee Id" dataDxfId="538"/>
    <tableColumn id="3" xr3:uid="{4402FCA6-360D-4260-8323-66CCDCD0C278}" name="Month" dataDxfId="537">
      <calculatedColumnFormula>$E$5</calculatedColumnFormula>
    </tableColumn>
    <tableColumn id="4" xr3:uid="{3622BBB1-DE91-4CAF-AE7D-C3C312E3BFC7}" name="Employee Name" dataDxfId="536"/>
    <tableColumn id="5" xr3:uid="{18E0B8A6-257E-4F25-9C30-F9BBE516557F}" name="Present" dataDxfId="535">
      <calculatedColumnFormula>COUNTIF($J9:$AN9,"P")</calculatedColumnFormula>
    </tableColumn>
    <tableColumn id="6" xr3:uid="{4DB4A3AF-72F7-42F5-BE7B-113BA8E7C565}" name="Absent">
      <calculatedColumnFormula>COUNTIF($J9:$AN9,"A")</calculatedColumnFormula>
    </tableColumn>
    <tableColumn id="7" xr3:uid="{8FDDFB47-D2A6-4E49-B493-8F0C1B6C3B31}" name="Leave">
      <calculatedColumnFormula>COUNTIF($J9:$AN9,"L")</calculatedColumnFormula>
    </tableColumn>
    <tableColumn id="8" xr3:uid="{CF7F135A-0A5A-4096-8402-5E36FB018896}" name="Week Off">
      <calculatedColumnFormula>$I$9</calculatedColumnFormula>
    </tableColumn>
    <tableColumn id="9" xr3:uid="{7F4B37CE-639D-4F68-B2C7-1A83A21B2057}" name="Days" dataDxfId="534">
      <calculatedColumnFormula>$H$5</calculatedColumnFormula>
    </tableColumn>
    <tableColumn id="10" xr3:uid="{92556CD4-4A39-4580-B873-2C35B9DE9934}" name=" Paid Days" dataDxfId="533">
      <calculatedColumnFormula>AY9-AV9</calculatedColumnFormula>
    </tableColumn>
    <tableColumn id="11" xr3:uid="{BDF8C9C7-1284-4183-ABE7-DD3016A12DA7}" name="Salary" dataDxfId="532">
      <calculatedColumnFormula>RANDBETWEEN(10000,50000)</calculatedColumnFormula>
    </tableColumn>
    <tableColumn id="12" xr3:uid="{16807D57-ACE7-413E-91CC-4773C71622D0}" name="Per day Salary" dataDxfId="531">
      <calculatedColumnFormula>BA9/AZ9</calculatedColumnFormula>
    </tableColumn>
    <tableColumn id="13" xr3:uid="{1B8D4FFE-615C-4AD5-89F1-FCEB9418811A}" name="Deduction" dataDxfId="530">
      <calculatedColumnFormula>BB9*AV9</calculatedColumnFormula>
    </tableColumn>
    <tableColumn id="14" xr3:uid="{50C2874B-A2CB-4A8E-BB1D-D55FF68570D7}" name="Total Salary" dataDxfId="529">
      <calculatedColumnFormula>BA9-BC9</calculatedColumnFormula>
    </tableColumn>
    <tableColumn id="15" xr3:uid="{6AADBA4B-EF72-4801-B2D8-C16744F019CC}" name="Sparkline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D90E4-ED20-4F1F-91F4-006A73DE99D6}" name="Table6" displayName="Table6" ref="AQ8:BE28" totalsRowShown="0" headerRowDxfId="486" headerRowBorderDxfId="485" tableBorderDxfId="484">
  <autoFilter ref="AQ8:BE28" xr:uid="{B2AD90E4-ED20-4F1F-91F4-006A73DE99D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2AAB56FD-0880-4D4C-91EF-3859B266271B}" name="S No " dataDxfId="483"/>
    <tableColumn id="2" xr3:uid="{9F73FD95-D902-48B3-A044-765F2C357E40}" name="Employee Id" dataDxfId="482"/>
    <tableColumn id="3" xr3:uid="{0A3CC9B3-E140-43D3-83D7-F259F8C6A7C7}" name="Month" dataDxfId="481">
      <calculatedColumnFormula>$E$5</calculatedColumnFormula>
    </tableColumn>
    <tableColumn id="4" xr3:uid="{D5B642B6-6DB5-4CC4-8AD8-4A45E5A46C40}" name="Employee Name" dataDxfId="480"/>
    <tableColumn id="5" xr3:uid="{5E6F0868-F9DF-4C99-B44B-A517BB1187AF}" name="Present" dataDxfId="479">
      <calculatedColumnFormula>COUNTIF($J9:$AN9,"P")</calculatedColumnFormula>
    </tableColumn>
    <tableColumn id="6" xr3:uid="{87F8C165-88FC-4CBD-8160-2C62A7E4D8D7}" name="Absent">
      <calculatedColumnFormula>COUNTIF($J9:$AN9,"A")</calculatedColumnFormula>
    </tableColumn>
    <tableColumn id="7" xr3:uid="{BEA62B28-F648-4A4D-B587-1AE0D1C28EFB}" name="Leave">
      <calculatedColumnFormula>COUNTIF($J9:$AN9,"L")</calculatedColumnFormula>
    </tableColumn>
    <tableColumn id="8" xr3:uid="{DB856D05-8310-4482-8999-6EDBBB315DB5}" name="Week Off">
      <calculatedColumnFormula>$I$9</calculatedColumnFormula>
    </tableColumn>
    <tableColumn id="9" xr3:uid="{A866732D-2A75-4CA1-B8CE-26A073399CBF}" name="Days" dataDxfId="478">
      <calculatedColumnFormula>$H$5</calculatedColumnFormula>
    </tableColumn>
    <tableColumn id="10" xr3:uid="{166BB451-00F4-4395-9125-CBF54E5208E0}" name=" Paid Days" dataDxfId="477">
      <calculatedColumnFormula>AY9-AV9</calculatedColumnFormula>
    </tableColumn>
    <tableColumn id="11" xr3:uid="{DD08408A-A4F1-45E1-A8AC-0D283826582A}" name="Salary" dataDxfId="476">
      <calculatedColumnFormula>RANDBETWEEN(10000,50000)</calculatedColumnFormula>
    </tableColumn>
    <tableColumn id="12" xr3:uid="{11774303-A06A-4EDD-8EE8-C047535B3E10}" name="Per day Salary" dataDxfId="475">
      <calculatedColumnFormula>BA9/AZ9</calculatedColumnFormula>
    </tableColumn>
    <tableColumn id="13" xr3:uid="{BEF1FE65-52DD-4DBA-A573-7FA4ED24E445}" name="Deduction" dataDxfId="474">
      <calculatedColumnFormula>BB9*AV9</calculatedColumnFormula>
    </tableColumn>
    <tableColumn id="14" xr3:uid="{85AE3EBD-E992-4154-98E4-202C60233719}" name="Total Salary" dataDxfId="473">
      <calculatedColumnFormula>BA9-BC9</calculatedColumnFormula>
    </tableColumn>
    <tableColumn id="15" xr3:uid="{970F2C5A-41A7-44F3-A62A-BBBAB81D426A}" name="Sparkline"/>
  </tableColumns>
  <tableStyleInfo name="TableStyleMedium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5CDA10D-74F4-49CB-8A6D-4ADDAB5FA11C}" name="Table7" displayName="Table7" ref="AQ8:BE28" totalsRowShown="0" headerRowDxfId="472" headerRowBorderDxfId="471" tableBorderDxfId="470">
  <autoFilter ref="AQ8:BE28" xr:uid="{B5CDA10D-74F4-49CB-8A6D-4ADDAB5FA11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0E68AB0B-2CD5-484E-BE9A-041CA6C44B41}" name="S No " dataDxfId="469"/>
    <tableColumn id="2" xr3:uid="{9FEA69EF-3056-450D-8BB4-2C59D6F72154}" name="Employee Id" dataDxfId="468"/>
    <tableColumn id="3" xr3:uid="{98FFA32D-0782-470C-AA09-0D92AEDE34ED}" name="Month" dataDxfId="467">
      <calculatedColumnFormula>$E$5</calculatedColumnFormula>
    </tableColumn>
    <tableColumn id="4" xr3:uid="{983FD41E-1C3B-4B77-8B29-B802CDD93925}" name="Employee Name" dataDxfId="466"/>
    <tableColumn id="5" xr3:uid="{A0F20E47-6514-46EB-83E5-787969103ED7}" name="Present" dataDxfId="465">
      <calculatedColumnFormula>COUNTIF($J9:$AN9,"P")</calculatedColumnFormula>
    </tableColumn>
    <tableColumn id="6" xr3:uid="{C02AEB8B-7F0A-48B2-AC05-CD63D7FFA2CF}" name="Absent">
      <calculatedColumnFormula>COUNTIF($J9:$AN9,"A")</calculatedColumnFormula>
    </tableColumn>
    <tableColumn id="7" xr3:uid="{42DA4B0F-4640-49F4-8449-BB8663FE6054}" name="Leave">
      <calculatedColumnFormula>COUNTIF($J9:$AN9,"L")</calculatedColumnFormula>
    </tableColumn>
    <tableColumn id="8" xr3:uid="{3FB28FC2-6C4D-45B0-9EDD-36DA153E0806}" name="Week Off">
      <calculatedColumnFormula>$I$9</calculatedColumnFormula>
    </tableColumn>
    <tableColumn id="9" xr3:uid="{DE38A925-90DC-4285-A496-DBAD93327AB0}" name="Days" dataDxfId="464">
      <calculatedColumnFormula>$H$5</calculatedColumnFormula>
    </tableColumn>
    <tableColumn id="10" xr3:uid="{AEEEF5F2-8135-44D3-A64F-682F00ED6CB7}" name=" Paid Days" dataDxfId="463">
      <calculatedColumnFormula>AY9-AV9</calculatedColumnFormula>
    </tableColumn>
    <tableColumn id="11" xr3:uid="{BF36FFA9-9CA2-4C49-B6D4-AC27A08FF308}" name="Salary" dataDxfId="462">
      <calculatedColumnFormula>RANDBETWEEN(10000,50000)</calculatedColumnFormula>
    </tableColumn>
    <tableColumn id="12" xr3:uid="{FF4BA1A5-4136-474D-8AFD-1B45F34018DF}" name="Per day Salary" dataDxfId="461">
      <calculatedColumnFormula>BA9/AZ9</calculatedColumnFormula>
    </tableColumn>
    <tableColumn id="13" xr3:uid="{B42409AD-6B68-4E06-BE5F-FEC1E2FE3731}" name="Deduction" dataDxfId="460">
      <calculatedColumnFormula>BB9*AV9</calculatedColumnFormula>
    </tableColumn>
    <tableColumn id="14" xr3:uid="{35772DBF-FD8A-467C-9A5E-8DA8093678DD}" name="Total Salary" dataDxfId="459">
      <calculatedColumnFormula>BA9-BC9</calculatedColumnFormula>
    </tableColumn>
    <tableColumn id="15" xr3:uid="{4B506835-1B96-4BD3-94F0-CFAFDF805101}" name="Sparkline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42C6A58-E174-4FAD-BA1F-0F1B5A8EB808}" name="Table8" displayName="Table8" ref="AQ8:BE28" totalsRowShown="0" headerRowDxfId="458" headerRowBorderDxfId="457" tableBorderDxfId="456">
  <autoFilter ref="AQ8:BE28" xr:uid="{542C6A58-E174-4FAD-BA1F-0F1B5A8EB80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43E7A8CA-C31C-4978-A77B-738C46C42FA3}" name="S No " dataDxfId="455"/>
    <tableColumn id="2" xr3:uid="{A4503FBC-E9E3-4EA8-B4F9-73E6DFA6AFBD}" name="Employee Id" dataDxfId="454"/>
    <tableColumn id="3" xr3:uid="{8FB40623-36FF-48D8-B80C-BC1438ABAD81}" name="Month" dataDxfId="453">
      <calculatedColumnFormula>$E$5</calculatedColumnFormula>
    </tableColumn>
    <tableColumn id="4" xr3:uid="{96BAFC74-4F22-4125-A038-68B793F21819}" name="Employee Name" dataDxfId="452"/>
    <tableColumn id="5" xr3:uid="{CE4C561A-407B-4543-BBCE-4EF6E9584DA3}" name="Present" dataDxfId="451">
      <calculatedColumnFormula>COUNTIF($J9:$AN9,"P")</calculatedColumnFormula>
    </tableColumn>
    <tableColumn id="6" xr3:uid="{157ADA72-DCFA-42B3-9F2D-18C0D881529C}" name="Absent">
      <calculatedColumnFormula>COUNTIF($J9:$AN9,"A")</calculatedColumnFormula>
    </tableColumn>
    <tableColumn id="7" xr3:uid="{9DDB196E-7CD3-48AD-9A58-70CFDA22E3CC}" name="Leave">
      <calculatedColumnFormula>COUNTIF($J9:$AN9,"L")</calculatedColumnFormula>
    </tableColumn>
    <tableColumn id="8" xr3:uid="{373DB90D-674D-4570-BF8C-EB27190C1EE1}" name="Week Off">
      <calculatedColumnFormula>$I$9</calculatedColumnFormula>
    </tableColumn>
    <tableColumn id="9" xr3:uid="{287DC4AE-F9D2-499B-8B53-37B05570273E}" name="Days" dataDxfId="450">
      <calculatedColumnFormula>$H$5</calculatedColumnFormula>
    </tableColumn>
    <tableColumn id="10" xr3:uid="{1007BD9E-7701-419C-A7A0-AE9B5D0AF52F}" name=" Paid Days" dataDxfId="449">
      <calculatedColumnFormula>AY9-AV9</calculatedColumnFormula>
    </tableColumn>
    <tableColumn id="11" xr3:uid="{9393FE59-21AA-44BD-BDC2-6F2B75EA2011}" name="Salary" dataDxfId="448">
      <calculatedColumnFormula>RANDBETWEEN(10000,50000)</calculatedColumnFormula>
    </tableColumn>
    <tableColumn id="12" xr3:uid="{B9C1A44A-A67C-46FA-B94E-B6D4E0AB5B3C}" name="Per day Salary" dataDxfId="447">
      <calculatedColumnFormula>BA9/AZ9</calculatedColumnFormula>
    </tableColumn>
    <tableColumn id="13" xr3:uid="{CF3E2C3F-FD04-481C-9069-A836ADE1A672}" name="Deduction" dataDxfId="446">
      <calculatedColumnFormula>BB9*AV9</calculatedColumnFormula>
    </tableColumn>
    <tableColumn id="14" xr3:uid="{30F03469-9A63-4FBA-8B40-58F11D02E658}" name="Total Salary" dataDxfId="445">
      <calculatedColumnFormula>BA9-BC9</calculatedColumnFormula>
    </tableColumn>
    <tableColumn id="15" xr3:uid="{54EBB878-F0CC-4E0B-A6C0-E3CD3480CE1A}" name="Sparklin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A4DB7A3-348D-4C1D-A486-B9F051A72140}" name="Table9" displayName="Table9" ref="AQ8:BE28" totalsRowShown="0" headerRowDxfId="444" headerRowBorderDxfId="443" tableBorderDxfId="442">
  <autoFilter ref="AQ8:BE28" xr:uid="{9A4DB7A3-348D-4C1D-A486-B9F051A7214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5BA29A2E-17C9-40B0-8385-5B8FDCAEAEF6}" name="S No " dataDxfId="441"/>
    <tableColumn id="2" xr3:uid="{587C800B-E438-41D6-8E4B-90A351E2208E}" name="Employee Id" dataDxfId="440"/>
    <tableColumn id="3" xr3:uid="{EEA8716A-9B99-44AB-8748-9C588232D90D}" name="Month" dataDxfId="439">
      <calculatedColumnFormula>$E$5</calculatedColumnFormula>
    </tableColumn>
    <tableColumn id="4" xr3:uid="{DADD8E8A-2E7E-45E8-8E5C-60611AF40B71}" name="Employee Name" dataDxfId="438"/>
    <tableColumn id="5" xr3:uid="{0350D7DC-1DD4-46A2-BFF9-A4BD17594AC5}" name="Present" dataDxfId="437">
      <calculatedColumnFormula>COUNTIF($J9:$AN9,"P")</calculatedColumnFormula>
    </tableColumn>
    <tableColumn id="6" xr3:uid="{48178C2C-9302-459A-B4FD-FF83E4F796A3}" name="Absent">
      <calculatedColumnFormula>COUNTIF($J9:$AN9,"A")</calculatedColumnFormula>
    </tableColumn>
    <tableColumn id="7" xr3:uid="{1E8E6032-A3EF-4BAC-A343-C8BC96F23EDC}" name="Leave">
      <calculatedColumnFormula>COUNTIF($J9:$AN9,"L")</calculatedColumnFormula>
    </tableColumn>
    <tableColumn id="8" xr3:uid="{ED76A65A-36A5-4538-8135-66408ACC3E0B}" name="Week Off">
      <calculatedColumnFormula>$I$9</calculatedColumnFormula>
    </tableColumn>
    <tableColumn id="9" xr3:uid="{216F6D1C-EF80-4FCA-8808-E7F4A048E9BF}" name="Days" dataDxfId="436">
      <calculatedColumnFormula>$H$5</calculatedColumnFormula>
    </tableColumn>
    <tableColumn id="10" xr3:uid="{DCB21624-6F2A-4B17-930D-BE7EAC8C9BB6}" name=" Paid Days" dataDxfId="435">
      <calculatedColumnFormula>AY9-AV9</calculatedColumnFormula>
    </tableColumn>
    <tableColumn id="11" xr3:uid="{6A1268F1-715A-4FAD-8493-41474F57DA63}" name="Salary" dataDxfId="434">
      <calculatedColumnFormula>RANDBETWEEN(10000,50000)</calculatedColumnFormula>
    </tableColumn>
    <tableColumn id="12" xr3:uid="{F23ACA4B-1608-4384-9942-528061C3C3E4}" name="Per day Salary" dataDxfId="433">
      <calculatedColumnFormula>BA9/AZ9</calculatedColumnFormula>
    </tableColumn>
    <tableColumn id="13" xr3:uid="{DDE9D032-CD36-4223-9E8E-F4909EC76DCD}" name="Deduction" dataDxfId="432">
      <calculatedColumnFormula>BB9*AV9</calculatedColumnFormula>
    </tableColumn>
    <tableColumn id="14" xr3:uid="{AF3B0128-F3DA-4C20-B43F-52605AED674D}" name="Total Salary" dataDxfId="431">
      <calculatedColumnFormula>BA9-BC9</calculatedColumnFormula>
    </tableColumn>
    <tableColumn id="15" xr3:uid="{25826E28-A6A4-4F58-9166-B990520B8C25}" name="Sparklin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6FF2903-4A7A-479B-98BE-36136AFF1EDE}" name="Table10" displayName="Table10" ref="AQ8:BE28" totalsRowShown="0" headerRowDxfId="430" headerRowBorderDxfId="429" tableBorderDxfId="428">
  <autoFilter ref="AQ8:BE28" xr:uid="{26FF2903-4A7A-479B-98BE-36136AFF1ED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8EE58F55-9C34-4287-8D71-A0218B9AD53B}" name="S No " dataDxfId="427"/>
    <tableColumn id="2" xr3:uid="{5E7D0657-5294-42A6-B427-3F2426C79FBE}" name="Employee Id" dataDxfId="426"/>
    <tableColumn id="3" xr3:uid="{BACDBEC3-24E1-4766-8DB4-FA946A83CCEA}" name="Month" dataDxfId="425">
      <calculatedColumnFormula>$E$5</calculatedColumnFormula>
    </tableColumn>
    <tableColumn id="4" xr3:uid="{90EBF156-966A-4D06-BDB2-6683489A3DAC}" name="Employee Name" dataDxfId="424"/>
    <tableColumn id="5" xr3:uid="{71964C99-C671-4BAB-AF7C-3F348D44DB69}" name="Present" dataDxfId="423">
      <calculatedColumnFormula>COUNTIF($J9:$AN9,"P")</calculatedColumnFormula>
    </tableColumn>
    <tableColumn id="6" xr3:uid="{5187A479-ED39-4EB7-A3F7-1A46230AC980}" name="Absent">
      <calculatedColumnFormula>COUNTIF($J9:$AN9,"A")</calculatedColumnFormula>
    </tableColumn>
    <tableColumn id="7" xr3:uid="{C9C67C5D-8F82-40D1-AEA4-74AA1CC3EE32}" name="Leave">
      <calculatedColumnFormula>COUNTIF($J9:$AN9,"L")</calculatedColumnFormula>
    </tableColumn>
    <tableColumn id="8" xr3:uid="{BE31765E-60D7-44D7-80B3-6D5FCF0F6DA0}" name="Week Off">
      <calculatedColumnFormula>$I$9</calculatedColumnFormula>
    </tableColumn>
    <tableColumn id="9" xr3:uid="{16EFFC4C-5DAC-4542-BECB-8C26924D71EA}" name="Days" dataDxfId="422">
      <calculatedColumnFormula>$H$5</calculatedColumnFormula>
    </tableColumn>
    <tableColumn id="10" xr3:uid="{0912713E-7B36-4C38-85D1-823BD04FA1B3}" name=" Paid Days" dataDxfId="421">
      <calculatedColumnFormula>AY9-AV9</calculatedColumnFormula>
    </tableColumn>
    <tableColumn id="11" xr3:uid="{94ACB691-A829-4C9E-84CE-BEF88C26F3E8}" name="Salary" dataDxfId="420">
      <calculatedColumnFormula>RANDBETWEEN(10000,50000)</calculatedColumnFormula>
    </tableColumn>
    <tableColumn id="12" xr3:uid="{CADB4917-BEFC-4187-A6D9-B4EE331FA5A2}" name="Per day Salary" dataDxfId="419">
      <calculatedColumnFormula>BA9/AZ9</calculatedColumnFormula>
    </tableColumn>
    <tableColumn id="13" xr3:uid="{F2FA3172-57A3-4232-83EC-3100D7B4F48C}" name="Deduction" dataDxfId="418">
      <calculatedColumnFormula>BB9*AV9</calculatedColumnFormula>
    </tableColumn>
    <tableColumn id="14" xr3:uid="{CEC3D0A1-04D5-4EE9-806C-086D41D40246}" name="Total Salary" dataDxfId="417">
      <calculatedColumnFormula>BA9-BC9</calculatedColumnFormula>
    </tableColumn>
    <tableColumn id="15" xr3:uid="{53E545D7-CB5C-407D-B283-E3F2F7C1E15B}" name="Sparkline"/>
  </tableColumns>
  <tableStyleInfo name="TableStyleLight1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C49C22E-1438-4753-8247-F2C06599400D}" name="Table11" displayName="Table11" ref="AQ8:BE28" totalsRowShown="0" headerRowDxfId="416" headerRowBorderDxfId="415" tableBorderDxfId="414">
  <autoFilter ref="AQ8:BE28" xr:uid="{1C49C22E-1438-4753-8247-F2C06599400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099D23A8-080D-4EC1-AE64-E25D4F121BE1}" name="S No " dataDxfId="413"/>
    <tableColumn id="2" xr3:uid="{195BFAF9-E855-4C29-9ED0-F55DADCFEBA9}" name="Employee Id" dataDxfId="412"/>
    <tableColumn id="3" xr3:uid="{5E62026F-5936-40CD-83B4-7B0A733DFDB3}" name="Month" dataDxfId="411">
      <calculatedColumnFormula>$E$5</calculatedColumnFormula>
    </tableColumn>
    <tableColumn id="4" xr3:uid="{F0A3700A-1E19-4352-98D7-397FB057F158}" name="Employee Name" dataDxfId="410"/>
    <tableColumn id="5" xr3:uid="{764B11A8-E321-4328-B8CD-6B2AEE3B21E6}" name="Present" dataDxfId="409">
      <calculatedColumnFormula>COUNTIF($J9:$AN9,"P")</calculatedColumnFormula>
    </tableColumn>
    <tableColumn id="6" xr3:uid="{8557BF54-BF72-4521-9568-57D0B42FC2D6}" name="Absent">
      <calculatedColumnFormula>COUNTIF($J9:$AN9,"A")</calculatedColumnFormula>
    </tableColumn>
    <tableColumn id="7" xr3:uid="{5DFA3099-436A-4310-9FBD-6C6C87638D30}" name="Leave">
      <calculatedColumnFormula>COUNTIF($J9:$AN9,"L")</calculatedColumnFormula>
    </tableColumn>
    <tableColumn id="8" xr3:uid="{627B8FBB-B0E0-470C-A4E7-33AB1D2A2206}" name="Week Off">
      <calculatedColumnFormula>$I$9</calculatedColumnFormula>
    </tableColumn>
    <tableColumn id="9" xr3:uid="{FD45F3A2-B7F1-4261-84BB-5A2D6E9DBD0D}" name="Days" dataDxfId="408">
      <calculatedColumnFormula>$H$5</calculatedColumnFormula>
    </tableColumn>
    <tableColumn id="10" xr3:uid="{9FF3E1CA-EC1C-4362-AE7E-15930ED66106}" name=" Paid Days" dataDxfId="407">
      <calculatedColumnFormula>AY9-AV9</calculatedColumnFormula>
    </tableColumn>
    <tableColumn id="11" xr3:uid="{9B60AEC0-0BF7-44B9-BF57-94978D4089F3}" name="Salary" dataDxfId="406">
      <calculatedColumnFormula>RANDBETWEEN(10000,50000)</calculatedColumnFormula>
    </tableColumn>
    <tableColumn id="12" xr3:uid="{DBBE28F0-01E9-4166-8601-2838BE64E41A}" name="Per day Salary" dataDxfId="405">
      <calculatedColumnFormula>BA9/AZ9</calculatedColumnFormula>
    </tableColumn>
    <tableColumn id="13" xr3:uid="{41C4679A-C38D-4FD6-B3C9-DD24F2D19BC9}" name="Deduction" dataDxfId="404">
      <calculatedColumnFormula>BB9*AV9</calculatedColumnFormula>
    </tableColumn>
    <tableColumn id="14" xr3:uid="{F13393EB-EF3B-449F-A24F-12B59207F0AE}" name="Total Salary" dataDxfId="403">
      <calculatedColumnFormula>BA9-BC9</calculatedColumnFormula>
    </tableColumn>
    <tableColumn id="15" xr3:uid="{FA2239D6-907D-4959-BAE2-EB9424F455B4}" name="Sparkline"/>
  </tableColumns>
  <tableStyleInfo name="TableStyleLight1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FBE4C81-B0E5-4672-B593-20F1CE53C0A7}" name="Table12" displayName="Table12" ref="AQ8:BE28" totalsRowShown="0" headerRowDxfId="402" headerRowBorderDxfId="401" tableBorderDxfId="400">
  <autoFilter ref="AQ8:BE28" xr:uid="{7FBE4C81-B0E5-4672-B593-20F1CE53C0A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D8315321-D5F3-46F4-9AE2-728E630E9690}" name="S No " dataDxfId="399"/>
    <tableColumn id="2" xr3:uid="{A6B187DD-CC3B-4C68-BBF8-29EFF3C6B4CF}" name="Employee Id" dataDxfId="398"/>
    <tableColumn id="3" xr3:uid="{D6C30593-0309-4479-B0F5-5582C49CFC82}" name="Month" dataDxfId="397">
      <calculatedColumnFormula>$E$5</calculatedColumnFormula>
    </tableColumn>
    <tableColumn id="4" xr3:uid="{35F4C38B-83ED-4CB3-91CE-C800AE84F39A}" name="Employee Name" dataDxfId="396"/>
    <tableColumn id="5" xr3:uid="{67CDB77C-A40C-41AF-980E-B87C62810CC5}" name="Present" dataDxfId="395">
      <calculatedColumnFormula>COUNTIF($J9:$AN9,"P")</calculatedColumnFormula>
    </tableColumn>
    <tableColumn id="6" xr3:uid="{A638C734-46CD-4208-85BD-EA6B035A7ACC}" name="Absent">
      <calculatedColumnFormula>COUNTIF($J9:$AN9,"A")</calculatedColumnFormula>
    </tableColumn>
    <tableColumn id="7" xr3:uid="{9D4A9D4D-DB17-4563-8C20-823D0D2A4AF2}" name="Leave">
      <calculatedColumnFormula>COUNTIF($J9:$AN9,"L")</calculatedColumnFormula>
    </tableColumn>
    <tableColumn id="8" xr3:uid="{2633690D-E81B-4040-AF36-182D18F73CAC}" name="Week Off">
      <calculatedColumnFormula>$I$9</calculatedColumnFormula>
    </tableColumn>
    <tableColumn id="9" xr3:uid="{A8FF6555-3462-4808-A0D5-3E5603F2D53A}" name="Days" dataDxfId="394">
      <calculatedColumnFormula>$H$5</calculatedColumnFormula>
    </tableColumn>
    <tableColumn id="10" xr3:uid="{B81E0101-1808-4AB6-B3E1-3098DBBE2AEA}" name=" Paid Days" dataDxfId="393">
      <calculatedColumnFormula>AY9-AV9</calculatedColumnFormula>
    </tableColumn>
    <tableColumn id="11" xr3:uid="{392509D2-D39D-40E6-AAA4-B99839F5397A}" name="Salary" dataDxfId="392">
      <calculatedColumnFormula>RANDBETWEEN(10000,50000)</calculatedColumnFormula>
    </tableColumn>
    <tableColumn id="12" xr3:uid="{8F804913-A100-48A1-8A68-F5CBB8856109}" name="Per day Salary" dataDxfId="391">
      <calculatedColumnFormula>BA9/AZ9</calculatedColumnFormula>
    </tableColumn>
    <tableColumn id="13" xr3:uid="{119C76CF-92E2-4694-A4E0-C7501C99F2B4}" name="Deduction" dataDxfId="390">
      <calculatedColumnFormula>BB9*AV9</calculatedColumnFormula>
    </tableColumn>
    <tableColumn id="14" xr3:uid="{2E9144CE-B967-4D26-A08D-F8AC8D83D3BD}" name="Total Salary" dataDxfId="389">
      <calculatedColumnFormula>BA9-BC9</calculatedColumnFormula>
    </tableColumn>
    <tableColumn id="15" xr3:uid="{B7EA2571-2D12-456F-9726-C4DF337E3915}" name="Sparkline"/>
  </tableColumns>
  <tableStyleInfo name="TableStyleLight1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08E9A77-6EEA-4771-A46B-3EB79A99C3E7}" name="Table13" displayName="Table13" ref="AQ8:BE28" totalsRowShown="0" headerRowDxfId="388" headerRowBorderDxfId="387" tableBorderDxfId="386">
  <autoFilter ref="AQ8:BE28" xr:uid="{B08E9A77-6EEA-4771-A46B-3EB79A99C3E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899112F7-7E7B-4D0D-A82D-0B7A8587F2A1}" name="S No " dataDxfId="385"/>
    <tableColumn id="2" xr3:uid="{BA536B5B-301D-4844-AC24-6189887FA8C6}" name="Employee Id" dataDxfId="384"/>
    <tableColumn id="3" xr3:uid="{698C1AB2-DB53-4B8E-8457-F41BD9C7F48C}" name="Month" dataDxfId="383">
      <calculatedColumnFormula>$E$5</calculatedColumnFormula>
    </tableColumn>
    <tableColumn id="4" xr3:uid="{7C3A8E13-6400-4C02-BD52-ED3BF810597B}" name="Employee Name" dataDxfId="382"/>
    <tableColumn id="5" xr3:uid="{62E24F2D-3FE1-404F-BBA8-04A3FAAE8277}" name="Present" dataDxfId="381">
      <calculatedColumnFormula>COUNTIF($J9:$AN9,"P")</calculatedColumnFormula>
    </tableColumn>
    <tableColumn id="6" xr3:uid="{BEBBEBC0-A055-480F-840E-F276058121B9}" name="Absent">
      <calculatedColumnFormula>COUNTIF($J9:$AN9,"A")</calculatedColumnFormula>
    </tableColumn>
    <tableColumn id="7" xr3:uid="{0B55C8FE-1205-4A61-9E81-43FDDD7071D5}" name="Leave">
      <calculatedColumnFormula>COUNTIF($J9:$AN9,"L")</calculatedColumnFormula>
    </tableColumn>
    <tableColumn id="8" xr3:uid="{E166CB36-1BEE-4568-9905-ACA853C863C6}" name="Week Off">
      <calculatedColumnFormula>$I$9</calculatedColumnFormula>
    </tableColumn>
    <tableColumn id="9" xr3:uid="{1C485310-AF74-42E9-9803-467EA7F4BE9B}" name="Days" dataDxfId="380">
      <calculatedColumnFormula>$H$5</calculatedColumnFormula>
    </tableColumn>
    <tableColumn id="10" xr3:uid="{9A143A74-1D16-4D31-B1C1-619E7A5ED8F7}" name=" Paid Days" dataDxfId="379">
      <calculatedColumnFormula>AY9-AV9</calculatedColumnFormula>
    </tableColumn>
    <tableColumn id="11" xr3:uid="{415D5625-6E5F-48E2-BAE2-273798C68190}" name="Salary" dataDxfId="378">
      <calculatedColumnFormula>RANDBETWEEN(10000,50000)</calculatedColumnFormula>
    </tableColumn>
    <tableColumn id="12" xr3:uid="{B5370580-4750-40C9-B47B-1E0F9AF42E2F}" name="Per day Salary" dataDxfId="377">
      <calculatedColumnFormula>BA9/AZ9</calculatedColumnFormula>
    </tableColumn>
    <tableColumn id="13" xr3:uid="{3D9B843B-54C8-4E28-9F32-483F61DC61A0}" name="Deduction" dataDxfId="376">
      <calculatedColumnFormula>BB9*AV9</calculatedColumnFormula>
    </tableColumn>
    <tableColumn id="14" xr3:uid="{A8EF2F35-7341-4BC8-9D1B-EF129C48CC2A}" name="Total Salary" dataDxfId="375">
      <calculatedColumnFormula>BA9-BC9</calculatedColumnFormula>
    </tableColumn>
    <tableColumn id="15" xr3:uid="{DCE4FC1A-F2F0-48AC-B079-58A61E2A245A}" name="Sparkline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50EB9-6EAD-4F3C-AC94-4C1DC8FF44EF}">
  <dimension ref="A1:C22"/>
  <sheetViews>
    <sheetView workbookViewId="0">
      <selection activeCell="B4" sqref="B4"/>
    </sheetView>
  </sheetViews>
  <sheetFormatPr defaultRowHeight="14.4" x14ac:dyDescent="0.3"/>
  <cols>
    <col min="2" max="2" width="16" bestFit="1" customWidth="1"/>
    <col min="3" max="3" width="16.77734375" bestFit="1" customWidth="1"/>
  </cols>
  <sheetData>
    <row r="1" spans="1:3" ht="21" x14ac:dyDescent="0.4">
      <c r="A1" s="1" t="s">
        <v>0</v>
      </c>
      <c r="B1" s="1" t="s">
        <v>1</v>
      </c>
      <c r="C1" s="1" t="s">
        <v>2</v>
      </c>
    </row>
    <row r="2" spans="1:3" ht="21" x14ac:dyDescent="0.4">
      <c r="A2" s="1"/>
      <c r="B2" s="1"/>
      <c r="C2" s="1"/>
    </row>
    <row r="3" spans="1:3" x14ac:dyDescent="0.3">
      <c r="A3" s="2">
        <v>1</v>
      </c>
      <c r="B3" s="2" t="s">
        <v>3</v>
      </c>
      <c r="C3" s="2">
        <v>1001</v>
      </c>
    </row>
    <row r="4" spans="1:3" x14ac:dyDescent="0.3">
      <c r="A4" s="2">
        <v>2</v>
      </c>
      <c r="B4" s="2" t="s">
        <v>4</v>
      </c>
      <c r="C4" s="2">
        <v>1002</v>
      </c>
    </row>
    <row r="5" spans="1:3" x14ac:dyDescent="0.3">
      <c r="A5" s="2">
        <v>3</v>
      </c>
      <c r="B5" s="2" t="s">
        <v>5</v>
      </c>
      <c r="C5" s="2">
        <v>1003</v>
      </c>
    </row>
    <row r="6" spans="1:3" x14ac:dyDescent="0.3">
      <c r="A6" s="2">
        <v>4</v>
      </c>
      <c r="B6" s="2" t="s">
        <v>6</v>
      </c>
      <c r="C6" s="2">
        <v>1004</v>
      </c>
    </row>
    <row r="7" spans="1:3" x14ac:dyDescent="0.3">
      <c r="A7" s="2">
        <v>5</v>
      </c>
      <c r="B7" s="2" t="s">
        <v>7</v>
      </c>
      <c r="C7" s="2">
        <v>1005</v>
      </c>
    </row>
    <row r="8" spans="1:3" x14ac:dyDescent="0.3">
      <c r="A8" s="2">
        <v>6</v>
      </c>
      <c r="B8" s="2" t="s">
        <v>8</v>
      </c>
      <c r="C8" s="2">
        <v>1006</v>
      </c>
    </row>
    <row r="9" spans="1:3" x14ac:dyDescent="0.3">
      <c r="A9" s="2">
        <v>7</v>
      </c>
      <c r="B9" s="2" t="s">
        <v>9</v>
      </c>
      <c r="C9" s="2">
        <v>1007</v>
      </c>
    </row>
    <row r="10" spans="1:3" x14ac:dyDescent="0.3">
      <c r="A10" s="2">
        <v>8</v>
      </c>
      <c r="B10" s="2" t="s">
        <v>10</v>
      </c>
      <c r="C10" s="2">
        <v>1008</v>
      </c>
    </row>
    <row r="11" spans="1:3" x14ac:dyDescent="0.3">
      <c r="A11" s="2">
        <v>9</v>
      </c>
      <c r="B11" s="2" t="s">
        <v>11</v>
      </c>
      <c r="C11" s="2">
        <v>1009</v>
      </c>
    </row>
    <row r="12" spans="1:3" x14ac:dyDescent="0.3">
      <c r="A12" s="2">
        <v>10</v>
      </c>
      <c r="B12" s="2" t="s">
        <v>12</v>
      </c>
      <c r="C12" s="2">
        <v>1010</v>
      </c>
    </row>
    <row r="13" spans="1:3" x14ac:dyDescent="0.3">
      <c r="A13" s="2">
        <v>11</v>
      </c>
      <c r="B13" s="2" t="s">
        <v>13</v>
      </c>
      <c r="C13" s="2">
        <v>1011</v>
      </c>
    </row>
    <row r="14" spans="1:3" x14ac:dyDescent="0.3">
      <c r="A14" s="2">
        <v>12</v>
      </c>
      <c r="B14" s="2" t="s">
        <v>14</v>
      </c>
      <c r="C14" s="2">
        <v>1012</v>
      </c>
    </row>
    <row r="15" spans="1:3" x14ac:dyDescent="0.3">
      <c r="A15" s="2">
        <v>13</v>
      </c>
      <c r="B15" s="2" t="s">
        <v>15</v>
      </c>
      <c r="C15" s="2">
        <v>1013</v>
      </c>
    </row>
    <row r="16" spans="1:3" x14ac:dyDescent="0.3">
      <c r="A16" s="2">
        <v>14</v>
      </c>
      <c r="B16" s="2" t="s">
        <v>16</v>
      </c>
      <c r="C16" s="2">
        <v>1014</v>
      </c>
    </row>
    <row r="17" spans="1:3" x14ac:dyDescent="0.3">
      <c r="A17" s="2">
        <v>15</v>
      </c>
      <c r="B17" s="2" t="s">
        <v>17</v>
      </c>
      <c r="C17" s="2">
        <v>1015</v>
      </c>
    </row>
    <row r="18" spans="1:3" x14ac:dyDescent="0.3">
      <c r="A18" s="2">
        <v>16</v>
      </c>
      <c r="B18" s="2" t="s">
        <v>18</v>
      </c>
      <c r="C18" s="2">
        <v>1016</v>
      </c>
    </row>
    <row r="19" spans="1:3" x14ac:dyDescent="0.3">
      <c r="A19" s="2">
        <v>17</v>
      </c>
      <c r="B19" s="2" t="s">
        <v>19</v>
      </c>
      <c r="C19" s="2">
        <v>1017</v>
      </c>
    </row>
    <row r="20" spans="1:3" x14ac:dyDescent="0.3">
      <c r="A20" s="2">
        <v>18</v>
      </c>
      <c r="B20" s="2" t="s">
        <v>22</v>
      </c>
      <c r="C20" s="2">
        <v>1018</v>
      </c>
    </row>
    <row r="21" spans="1:3" x14ac:dyDescent="0.3">
      <c r="A21" s="2">
        <v>19</v>
      </c>
      <c r="B21" s="2" t="s">
        <v>20</v>
      </c>
      <c r="C21" s="2">
        <v>1019</v>
      </c>
    </row>
    <row r="22" spans="1:3" x14ac:dyDescent="0.3">
      <c r="A22" s="2">
        <v>20</v>
      </c>
      <c r="B22" s="2" t="s">
        <v>21</v>
      </c>
      <c r="C22" s="2">
        <v>1020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74A8E-7412-4128-BB40-D9747D70531A}">
  <dimension ref="A1:BJ49"/>
  <sheetViews>
    <sheetView zoomScaleNormal="100" workbookViewId="0">
      <selection activeCell="G14" sqref="G14:I16"/>
    </sheetView>
  </sheetViews>
  <sheetFormatPr defaultRowHeight="14.4" x14ac:dyDescent="0.3"/>
  <cols>
    <col min="6" max="6" width="6.33203125" bestFit="1" customWidth="1"/>
    <col min="7" max="7" width="14.33203125" bestFit="1" customWidth="1"/>
    <col min="8" max="8" width="18.77734375" bestFit="1" customWidth="1"/>
    <col min="9" max="9" width="10.5546875" bestFit="1" customWidth="1"/>
    <col min="10" max="10" width="5.5546875" customWidth="1"/>
    <col min="11" max="11" width="4" bestFit="1" customWidth="1"/>
    <col min="12" max="12" width="3.88671875" customWidth="1"/>
    <col min="13" max="13" width="3.5546875" bestFit="1" customWidth="1"/>
    <col min="14" max="14" width="3.88671875" bestFit="1" customWidth="1"/>
    <col min="15" max="15" width="4.77734375" bestFit="1" customWidth="1"/>
    <col min="16" max="16" width="4" bestFit="1" customWidth="1"/>
    <col min="17" max="17" width="4.77734375" bestFit="1" customWidth="1"/>
    <col min="18" max="18" width="4" bestFit="1" customWidth="1"/>
    <col min="19" max="19" width="3.44140625" customWidth="1"/>
    <col min="20" max="20" width="3.5546875" bestFit="1" customWidth="1"/>
    <col min="21" max="21" width="3.88671875" bestFit="1" customWidth="1"/>
    <col min="22" max="22" width="4.77734375" bestFit="1" customWidth="1"/>
    <col min="23" max="23" width="4" bestFit="1" customWidth="1"/>
    <col min="24" max="24" width="4.77734375" bestFit="1" customWidth="1"/>
    <col min="25" max="25" width="4" bestFit="1" customWidth="1"/>
    <col min="26" max="26" width="3.44140625" customWidth="1"/>
    <col min="27" max="27" width="3.5546875" bestFit="1" customWidth="1"/>
    <col min="28" max="28" width="3.88671875" bestFit="1" customWidth="1"/>
    <col min="29" max="29" width="4.77734375" bestFit="1" customWidth="1"/>
    <col min="30" max="30" width="4" bestFit="1" customWidth="1"/>
    <col min="31" max="31" width="4.77734375" bestFit="1" customWidth="1"/>
    <col min="32" max="32" width="4" bestFit="1" customWidth="1"/>
    <col min="33" max="33" width="4" customWidth="1"/>
    <col min="34" max="34" width="3.5546875" bestFit="1" customWidth="1"/>
    <col min="35" max="35" width="3.88671875" bestFit="1" customWidth="1"/>
    <col min="36" max="36" width="4.77734375" bestFit="1" customWidth="1"/>
    <col min="37" max="37" width="4" bestFit="1" customWidth="1"/>
    <col min="38" max="38" width="4.77734375" bestFit="1" customWidth="1"/>
    <col min="39" max="39" width="4" bestFit="1" customWidth="1"/>
    <col min="40" max="40" width="3.44140625" customWidth="1"/>
    <col min="44" max="44" width="16" customWidth="1"/>
    <col min="45" max="45" width="13.6640625" customWidth="1"/>
    <col min="46" max="46" width="20.33203125" customWidth="1"/>
    <col min="47" max="47" width="11" customWidth="1"/>
    <col min="48" max="48" width="10.33203125" customWidth="1"/>
    <col min="49" max="49" width="9.109375" customWidth="1"/>
    <col min="50" max="50" width="13" customWidth="1"/>
    <col min="51" max="51" width="8" customWidth="1"/>
    <col min="52" max="52" width="13.6640625" customWidth="1"/>
    <col min="53" max="53" width="11.5546875" bestFit="1" customWidth="1"/>
    <col min="54" max="54" width="17.77734375" customWidth="1"/>
    <col min="55" max="55" width="13.88671875" customWidth="1"/>
    <col min="56" max="56" width="15.21875" customWidth="1"/>
    <col min="57" max="57" width="12.77734375" customWidth="1"/>
  </cols>
  <sheetData>
    <row r="1" spans="1:62" x14ac:dyDescent="0.3">
      <c r="AP1" s="31"/>
      <c r="BF1" s="31"/>
      <c r="BG1" s="31"/>
      <c r="BH1" s="31"/>
      <c r="BI1" s="31"/>
      <c r="BJ1" s="31"/>
    </row>
    <row r="2" spans="1:62" x14ac:dyDescent="0.3">
      <c r="AP2" s="31"/>
      <c r="BF2" s="31"/>
      <c r="BG2" s="31"/>
      <c r="BH2" s="31"/>
      <c r="BI2" s="31"/>
      <c r="BJ2" s="31"/>
    </row>
    <row r="3" spans="1:62" x14ac:dyDescent="0.3">
      <c r="AP3" s="31"/>
      <c r="BF3" s="31"/>
      <c r="BG3" s="31"/>
      <c r="BH3" s="31"/>
      <c r="BI3" s="31"/>
      <c r="BJ3" s="31"/>
    </row>
    <row r="4" spans="1:62" x14ac:dyDescent="0.3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</row>
    <row r="5" spans="1:62" x14ac:dyDescent="0.3">
      <c r="A5" s="31"/>
      <c r="B5" s="31"/>
      <c r="C5" s="31"/>
      <c r="D5" s="31"/>
      <c r="E5" s="35" t="str">
        <f>TEXT(G5,"mmmm")</f>
        <v>January</v>
      </c>
      <c r="F5" s="35" t="s">
        <v>26</v>
      </c>
      <c r="G5" s="36">
        <v>45658</v>
      </c>
      <c r="H5" s="37">
        <f>(DATEDIF($G$5,$J$5,"D"))+1</f>
        <v>31</v>
      </c>
      <c r="I5" s="35" t="s">
        <v>27</v>
      </c>
      <c r="J5" s="36">
        <f>EOMONTH(G5,0)</f>
        <v>45688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</row>
    <row r="6" spans="1:62" ht="15" thickBot="1" x14ac:dyDescent="0.35">
      <c r="A6" s="31"/>
      <c r="B6" s="31"/>
      <c r="C6" s="31"/>
      <c r="D6" s="31"/>
      <c r="E6" s="32"/>
      <c r="F6" s="32"/>
      <c r="G6" s="32"/>
      <c r="H6" s="32"/>
      <c r="I6" s="32"/>
      <c r="J6" s="33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1"/>
      <c r="BH6" s="31"/>
      <c r="BI6" s="31"/>
      <c r="BJ6" s="31"/>
    </row>
    <row r="7" spans="1:62" ht="15" thickBot="1" x14ac:dyDescent="0.35">
      <c r="C7" s="31"/>
      <c r="D7" s="31"/>
      <c r="E7" s="32"/>
      <c r="F7" s="5"/>
      <c r="G7" s="6" t="s">
        <v>29</v>
      </c>
      <c r="H7" s="7"/>
      <c r="I7" s="5" t="s">
        <v>28</v>
      </c>
      <c r="J7" s="23" t="str">
        <f>TEXT(J8,"DDD")</f>
        <v>Wed</v>
      </c>
      <c r="K7" s="23" t="str">
        <f>TEXT(K8,"DDD")</f>
        <v>Thu</v>
      </c>
      <c r="L7" s="23" t="str">
        <f t="shared" ref="L7:N7" si="0">TEXT(L8,"DDD")</f>
        <v>Fri</v>
      </c>
      <c r="M7" s="23" t="str">
        <f t="shared" si="0"/>
        <v>Sat</v>
      </c>
      <c r="N7" s="23" t="str">
        <f t="shared" si="0"/>
        <v>Sun</v>
      </c>
      <c r="O7" s="23" t="str">
        <f t="shared" ref="O7" si="1">TEXT(O8,"DDD")</f>
        <v>Mon</v>
      </c>
      <c r="P7" s="23" t="str">
        <f t="shared" ref="P7" si="2">TEXT(P8,"DDD")</f>
        <v>Tue</v>
      </c>
      <c r="Q7" s="23" t="str">
        <f t="shared" ref="Q7" si="3">TEXT(Q8,"DDD")</f>
        <v>Wed</v>
      </c>
      <c r="R7" s="23" t="str">
        <f t="shared" ref="R7" si="4">TEXT(R8,"DDD")</f>
        <v>Thu</v>
      </c>
      <c r="S7" s="23" t="str">
        <f t="shared" ref="S7" si="5">TEXT(S8,"DDD")</f>
        <v>Fri</v>
      </c>
      <c r="T7" s="23" t="str">
        <f t="shared" ref="T7" si="6">TEXT(T8,"DDD")</f>
        <v>Sat</v>
      </c>
      <c r="U7" s="23" t="str">
        <f t="shared" ref="U7" si="7">TEXT(U8,"DDD")</f>
        <v>Sun</v>
      </c>
      <c r="V7" s="23" t="str">
        <f t="shared" ref="V7" si="8">TEXT(V8,"DDD")</f>
        <v>Mon</v>
      </c>
      <c r="W7" s="23" t="str">
        <f t="shared" ref="W7" si="9">TEXT(W8,"DDD")</f>
        <v>Tue</v>
      </c>
      <c r="X7" s="23" t="str">
        <f t="shared" ref="X7" si="10">TEXT(X8,"DDD")</f>
        <v>Wed</v>
      </c>
      <c r="Y7" s="23" t="str">
        <f t="shared" ref="Y7" si="11">TEXT(Y8,"DDD")</f>
        <v>Thu</v>
      </c>
      <c r="Z7" s="23" t="str">
        <f t="shared" ref="Z7" si="12">TEXT(Z8,"DDD")</f>
        <v>Fri</v>
      </c>
      <c r="AA7" s="23" t="str">
        <f t="shared" ref="AA7" si="13">TEXT(AA8,"DDD")</f>
        <v>Sat</v>
      </c>
      <c r="AB7" s="23" t="str">
        <f t="shared" ref="AB7" si="14">TEXT(AB8,"DDD")</f>
        <v>Sun</v>
      </c>
      <c r="AC7" s="23" t="str">
        <f t="shared" ref="AC7" si="15">TEXT(AC8,"DDD")</f>
        <v>Mon</v>
      </c>
      <c r="AD7" s="23" t="str">
        <f t="shared" ref="AD7" si="16">TEXT(AD8,"DDD")</f>
        <v>Tue</v>
      </c>
      <c r="AE7" s="23" t="str">
        <f t="shared" ref="AE7" si="17">TEXT(AE8,"DDD")</f>
        <v>Wed</v>
      </c>
      <c r="AF7" s="23" t="str">
        <f t="shared" ref="AF7" si="18">TEXT(AF8,"DDD")</f>
        <v>Thu</v>
      </c>
      <c r="AG7" s="23" t="str">
        <f t="shared" ref="AG7" si="19">TEXT(AG8,"DDD")</f>
        <v>Fri</v>
      </c>
      <c r="AH7" s="23" t="str">
        <f t="shared" ref="AH7" si="20">TEXT(AH8,"DDD")</f>
        <v>Sat</v>
      </c>
      <c r="AI7" s="23" t="str">
        <f t="shared" ref="AI7" si="21">TEXT(AI8,"DDD")</f>
        <v>Sun</v>
      </c>
      <c r="AJ7" s="23" t="str">
        <f>TEXT(AJ8,"DDD")</f>
        <v>Mon</v>
      </c>
      <c r="AK7" s="23" t="str">
        <f>TEXT(AK8,"DDD")</f>
        <v>Tue</v>
      </c>
      <c r="AL7" s="23" t="str">
        <f t="shared" ref="AL7:AN7" si="22">TEXT(AL8,"DDD")</f>
        <v>Wed</v>
      </c>
      <c r="AM7" s="23" t="str">
        <f t="shared" si="22"/>
        <v>Thu</v>
      </c>
      <c r="AN7" s="24" t="str">
        <f t="shared" si="22"/>
        <v>Fri</v>
      </c>
      <c r="AO7" s="32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1"/>
      <c r="BH7" s="31"/>
      <c r="BI7" s="31"/>
      <c r="BJ7" s="31"/>
    </row>
    <row r="8" spans="1:62" ht="18.600000000000001" thickBot="1" x14ac:dyDescent="0.4">
      <c r="C8" s="31"/>
      <c r="D8" s="31"/>
      <c r="E8" s="32"/>
      <c r="F8" s="12" t="s">
        <v>23</v>
      </c>
      <c r="G8" s="13" t="s">
        <v>2</v>
      </c>
      <c r="H8" s="14" t="s">
        <v>24</v>
      </c>
      <c r="I8" s="25" t="s">
        <v>25</v>
      </c>
      <c r="J8" s="26">
        <f>G5</f>
        <v>45658</v>
      </c>
      <c r="K8" s="26">
        <f>IF(J8&lt;$J$5,J8+1,"")</f>
        <v>45659</v>
      </c>
      <c r="L8" s="26">
        <f t="shared" ref="L8:AN8" si="23">IF(K8&lt;$J$5,K8+1,"")</f>
        <v>45660</v>
      </c>
      <c r="M8" s="26">
        <f t="shared" si="23"/>
        <v>45661</v>
      </c>
      <c r="N8" s="26">
        <f t="shared" si="23"/>
        <v>45662</v>
      </c>
      <c r="O8" s="26">
        <f t="shared" si="23"/>
        <v>45663</v>
      </c>
      <c r="P8" s="26">
        <f t="shared" si="23"/>
        <v>45664</v>
      </c>
      <c r="Q8" s="26">
        <f t="shared" si="23"/>
        <v>45665</v>
      </c>
      <c r="R8" s="26">
        <f t="shared" si="23"/>
        <v>45666</v>
      </c>
      <c r="S8" s="26">
        <f t="shared" si="23"/>
        <v>45667</v>
      </c>
      <c r="T8" s="26">
        <f t="shared" si="23"/>
        <v>45668</v>
      </c>
      <c r="U8" s="26">
        <f t="shared" si="23"/>
        <v>45669</v>
      </c>
      <c r="V8" s="26">
        <f t="shared" si="23"/>
        <v>45670</v>
      </c>
      <c r="W8" s="26">
        <f t="shared" si="23"/>
        <v>45671</v>
      </c>
      <c r="X8" s="26">
        <f t="shared" si="23"/>
        <v>45672</v>
      </c>
      <c r="Y8" s="26">
        <f t="shared" si="23"/>
        <v>45673</v>
      </c>
      <c r="Z8" s="26">
        <f t="shared" si="23"/>
        <v>45674</v>
      </c>
      <c r="AA8" s="26">
        <f t="shared" si="23"/>
        <v>45675</v>
      </c>
      <c r="AB8" s="26">
        <f t="shared" si="23"/>
        <v>45676</v>
      </c>
      <c r="AC8" s="26">
        <f t="shared" si="23"/>
        <v>45677</v>
      </c>
      <c r="AD8" s="26">
        <f t="shared" si="23"/>
        <v>45678</v>
      </c>
      <c r="AE8" s="26">
        <f t="shared" si="23"/>
        <v>45679</v>
      </c>
      <c r="AF8" s="26">
        <f t="shared" si="23"/>
        <v>45680</v>
      </c>
      <c r="AG8" s="26">
        <f t="shared" si="23"/>
        <v>45681</v>
      </c>
      <c r="AH8" s="26">
        <f t="shared" si="23"/>
        <v>45682</v>
      </c>
      <c r="AI8" s="26">
        <f t="shared" si="23"/>
        <v>45683</v>
      </c>
      <c r="AJ8" s="26">
        <f t="shared" si="23"/>
        <v>45684</v>
      </c>
      <c r="AK8" s="26">
        <f t="shared" si="23"/>
        <v>45685</v>
      </c>
      <c r="AL8" s="26">
        <f t="shared" si="23"/>
        <v>45686</v>
      </c>
      <c r="AM8" s="26">
        <f t="shared" si="23"/>
        <v>45687</v>
      </c>
      <c r="AN8" s="27">
        <f t="shared" si="23"/>
        <v>45688</v>
      </c>
      <c r="AO8" s="32"/>
      <c r="AP8" s="34"/>
      <c r="AQ8" s="38" t="s">
        <v>23</v>
      </c>
      <c r="AR8" s="38" t="s">
        <v>2</v>
      </c>
      <c r="AS8" s="38" t="s">
        <v>42</v>
      </c>
      <c r="AT8" s="39" t="s">
        <v>24</v>
      </c>
      <c r="AU8" s="40" t="s">
        <v>30</v>
      </c>
      <c r="AV8" s="38" t="s">
        <v>31</v>
      </c>
      <c r="AW8" s="38" t="s">
        <v>32</v>
      </c>
      <c r="AX8" s="38" t="s">
        <v>25</v>
      </c>
      <c r="AY8" s="38" t="s">
        <v>28</v>
      </c>
      <c r="AZ8" s="38" t="s">
        <v>33</v>
      </c>
      <c r="BA8" s="38" t="s">
        <v>34</v>
      </c>
      <c r="BB8" s="38" t="s">
        <v>35</v>
      </c>
      <c r="BC8" s="40" t="s">
        <v>36</v>
      </c>
      <c r="BD8" s="38" t="s">
        <v>37</v>
      </c>
      <c r="BE8" s="38" t="s">
        <v>41</v>
      </c>
      <c r="BF8" s="34"/>
      <c r="BG8" s="31"/>
      <c r="BH8" s="31"/>
      <c r="BI8" s="31"/>
      <c r="BJ8" s="31"/>
    </row>
    <row r="9" spans="1:62" x14ac:dyDescent="0.3">
      <c r="C9" s="31"/>
      <c r="D9" s="31"/>
      <c r="E9" s="32"/>
      <c r="F9" s="8">
        <v>1</v>
      </c>
      <c r="G9" s="9">
        <v>1001</v>
      </c>
      <c r="H9" s="15" t="s">
        <v>3</v>
      </c>
      <c r="I9" s="17">
        <f>COUNTIF($J$7:$AN$7,"Sun")</f>
        <v>4</v>
      </c>
      <c r="J9" s="18" t="s">
        <v>38</v>
      </c>
      <c r="K9" s="18" t="s">
        <v>40</v>
      </c>
      <c r="L9" s="18" t="s">
        <v>38</v>
      </c>
      <c r="M9" s="18" t="s">
        <v>38</v>
      </c>
      <c r="N9" s="18" t="str">
        <f t="shared" ref="N9:AI17" si="24">IF(N$7="Sun","WO","")</f>
        <v>WO</v>
      </c>
      <c r="O9" s="18" t="s">
        <v>38</v>
      </c>
      <c r="P9" s="18" t="s">
        <v>38</v>
      </c>
      <c r="Q9" s="18" t="s">
        <v>38</v>
      </c>
      <c r="R9" s="18" t="s">
        <v>38</v>
      </c>
      <c r="S9" s="18" t="s">
        <v>40</v>
      </c>
      <c r="T9" s="18" t="s">
        <v>38</v>
      </c>
      <c r="U9" s="18" t="str">
        <f t="shared" si="24"/>
        <v>WO</v>
      </c>
      <c r="V9" s="18" t="s">
        <v>38</v>
      </c>
      <c r="W9" s="18" t="s">
        <v>38</v>
      </c>
      <c r="X9" s="18" t="s">
        <v>38</v>
      </c>
      <c r="Y9" s="18" t="s">
        <v>40</v>
      </c>
      <c r="Z9" s="18" t="s">
        <v>38</v>
      </c>
      <c r="AA9" s="18" t="s">
        <v>38</v>
      </c>
      <c r="AB9" s="18" t="str">
        <f t="shared" si="24"/>
        <v>WO</v>
      </c>
      <c r="AC9" s="18" t="s">
        <v>38</v>
      </c>
      <c r="AD9" s="18" t="s">
        <v>38</v>
      </c>
      <c r="AE9" s="18" t="s">
        <v>38</v>
      </c>
      <c r="AF9" s="18" t="s">
        <v>38</v>
      </c>
      <c r="AG9" s="18" t="s">
        <v>38</v>
      </c>
      <c r="AH9" s="18" t="s">
        <v>38</v>
      </c>
      <c r="AI9" s="18" t="str">
        <f t="shared" si="24"/>
        <v>WO</v>
      </c>
      <c r="AJ9" s="18" t="s">
        <v>38</v>
      </c>
      <c r="AK9" s="18" t="s">
        <v>38</v>
      </c>
      <c r="AL9" s="18" t="s">
        <v>38</v>
      </c>
      <c r="AM9" s="18" t="s">
        <v>38</v>
      </c>
      <c r="AN9" s="19" t="s">
        <v>38</v>
      </c>
      <c r="AO9" s="32"/>
      <c r="AP9" s="34"/>
      <c r="AQ9" s="9">
        <v>1</v>
      </c>
      <c r="AR9" s="9">
        <v>1001</v>
      </c>
      <c r="AS9" s="9" t="str">
        <f>$E$5</f>
        <v>January</v>
      </c>
      <c r="AT9" s="15" t="s">
        <v>3</v>
      </c>
      <c r="AU9" s="28">
        <f t="shared" ref="AU9:AU28" si="25">COUNTIF($J9:$AN9,"P")</f>
        <v>24</v>
      </c>
      <c r="AV9">
        <f t="shared" ref="AV9:AV28" si="26">COUNTIF($J9:$AN9,"A")</f>
        <v>0</v>
      </c>
      <c r="AW9">
        <f t="shared" ref="AW9:AW28" si="27">COUNTIF($J9:$AN9,"L")</f>
        <v>3</v>
      </c>
      <c r="AX9">
        <f>$I$9</f>
        <v>4</v>
      </c>
      <c r="AY9" s="29">
        <f>$H$5</f>
        <v>31</v>
      </c>
      <c r="AZ9" s="29">
        <f>AY9-AV9</f>
        <v>31</v>
      </c>
      <c r="BA9" s="30">
        <f ca="1">RANDBETWEEN(10000,50000)</f>
        <v>26261</v>
      </c>
      <c r="BB9" s="30">
        <f ca="1">BA9/AZ9</f>
        <v>847.12903225806451</v>
      </c>
      <c r="BC9" s="30">
        <f ca="1">BB9*AV9</f>
        <v>0</v>
      </c>
      <c r="BD9" s="30">
        <f ca="1">BA9-BC9</f>
        <v>26261</v>
      </c>
      <c r="BF9" s="34"/>
      <c r="BG9" s="31"/>
      <c r="BH9" s="31"/>
      <c r="BI9" s="31"/>
      <c r="BJ9" s="31"/>
    </row>
    <row r="10" spans="1:62" x14ac:dyDescent="0.3">
      <c r="C10" s="31"/>
      <c r="D10" s="31"/>
      <c r="E10" s="32"/>
      <c r="F10" s="8">
        <v>2</v>
      </c>
      <c r="G10" s="9">
        <v>1002</v>
      </c>
      <c r="H10" s="15" t="s">
        <v>4</v>
      </c>
      <c r="I10" s="17">
        <f t="shared" ref="I10:I28" si="28">COUNTIF($J$7:$AN$7,"Sun")</f>
        <v>4</v>
      </c>
      <c r="J10" s="18" t="s">
        <v>38</v>
      </c>
      <c r="K10" s="18" t="s">
        <v>40</v>
      </c>
      <c r="L10" s="18" t="s">
        <v>39</v>
      </c>
      <c r="M10" s="18" t="s">
        <v>38</v>
      </c>
      <c r="N10" s="18" t="str">
        <f t="shared" si="24"/>
        <v>WO</v>
      </c>
      <c r="O10" s="18" t="s">
        <v>39</v>
      </c>
      <c r="P10" s="18" t="s">
        <v>39</v>
      </c>
      <c r="Q10" s="18" t="s">
        <v>38</v>
      </c>
      <c r="R10" s="18" t="s">
        <v>38</v>
      </c>
      <c r="S10" s="18" t="s">
        <v>40</v>
      </c>
      <c r="T10" s="18" t="s">
        <v>38</v>
      </c>
      <c r="U10" s="18" t="str">
        <f t="shared" si="24"/>
        <v>WO</v>
      </c>
      <c r="V10" s="18" t="s">
        <v>39</v>
      </c>
      <c r="W10" s="18" t="s">
        <v>38</v>
      </c>
      <c r="X10" s="18" t="s">
        <v>39</v>
      </c>
      <c r="Y10" s="18" t="s">
        <v>38</v>
      </c>
      <c r="Z10" s="18" t="s">
        <v>38</v>
      </c>
      <c r="AA10" s="18" t="s">
        <v>38</v>
      </c>
      <c r="AB10" s="18" t="str">
        <f t="shared" si="24"/>
        <v>WO</v>
      </c>
      <c r="AC10" s="18" t="s">
        <v>38</v>
      </c>
      <c r="AD10" s="18" t="s">
        <v>38</v>
      </c>
      <c r="AE10" s="18" t="s">
        <v>39</v>
      </c>
      <c r="AF10" s="18" t="s">
        <v>39</v>
      </c>
      <c r="AG10" s="18" t="s">
        <v>38</v>
      </c>
      <c r="AH10" s="18" t="s">
        <v>38</v>
      </c>
      <c r="AI10" s="18" t="str">
        <f t="shared" si="24"/>
        <v>WO</v>
      </c>
      <c r="AJ10" s="18" t="s">
        <v>38</v>
      </c>
      <c r="AK10" s="18" t="s">
        <v>38</v>
      </c>
      <c r="AL10" s="18" t="s">
        <v>38</v>
      </c>
      <c r="AM10" s="18" t="s">
        <v>38</v>
      </c>
      <c r="AN10" s="19" t="s">
        <v>38</v>
      </c>
      <c r="AO10" s="32"/>
      <c r="AP10" s="34"/>
      <c r="AQ10" s="9">
        <v>2</v>
      </c>
      <c r="AR10" s="9">
        <v>1002</v>
      </c>
      <c r="AS10" s="9" t="str">
        <f t="shared" ref="AS10:AS28" si="29">$E$5</f>
        <v>January</v>
      </c>
      <c r="AT10" s="15" t="s">
        <v>4</v>
      </c>
      <c r="AU10" s="28">
        <f t="shared" si="25"/>
        <v>18</v>
      </c>
      <c r="AV10">
        <f t="shared" si="26"/>
        <v>7</v>
      </c>
      <c r="AW10">
        <f t="shared" si="27"/>
        <v>2</v>
      </c>
      <c r="AX10">
        <f t="shared" ref="AX10:AX28" si="30">$I$9</f>
        <v>4</v>
      </c>
      <c r="AY10" s="29">
        <f t="shared" ref="AY10:AY28" si="31">$H$5</f>
        <v>31</v>
      </c>
      <c r="AZ10" s="29">
        <f t="shared" ref="AZ10:AZ28" si="32">AY10-AV10</f>
        <v>24</v>
      </c>
      <c r="BA10" s="30">
        <f t="shared" ref="BA10:BA28" ca="1" si="33">RANDBETWEEN(10000,50000)</f>
        <v>39879</v>
      </c>
      <c r="BB10" s="30">
        <f t="shared" ref="BB10:BB28" ca="1" si="34">BA10/AZ10</f>
        <v>1661.625</v>
      </c>
      <c r="BC10" s="30">
        <f t="shared" ref="BC10:BC28" ca="1" si="35">BB10*AV10</f>
        <v>11631.375</v>
      </c>
      <c r="BD10" s="30">
        <f t="shared" ref="BD10:BD28" ca="1" si="36">BA10-BC10</f>
        <v>28247.625</v>
      </c>
      <c r="BF10" s="34"/>
      <c r="BG10" s="31"/>
      <c r="BH10" s="31"/>
      <c r="BI10" s="31"/>
      <c r="BJ10" s="31"/>
    </row>
    <row r="11" spans="1:62" x14ac:dyDescent="0.3">
      <c r="C11" s="31"/>
      <c r="D11" s="31"/>
      <c r="E11" s="32"/>
      <c r="F11" s="8">
        <v>3</v>
      </c>
      <c r="G11" s="9">
        <v>1003</v>
      </c>
      <c r="H11" s="15" t="s">
        <v>5</v>
      </c>
      <c r="I11" s="17">
        <f t="shared" si="28"/>
        <v>4</v>
      </c>
      <c r="J11" s="18" t="s">
        <v>38</v>
      </c>
      <c r="K11" s="18" t="s">
        <v>40</v>
      </c>
      <c r="L11" s="18" t="s">
        <v>38</v>
      </c>
      <c r="M11" s="18" t="s">
        <v>38</v>
      </c>
      <c r="N11" s="18" t="str">
        <f t="shared" si="24"/>
        <v>WO</v>
      </c>
      <c r="O11" s="18" t="s">
        <v>38</v>
      </c>
      <c r="P11" s="18" t="s">
        <v>39</v>
      </c>
      <c r="Q11" s="18" t="s">
        <v>38</v>
      </c>
      <c r="R11" s="18" t="s">
        <v>38</v>
      </c>
      <c r="S11" s="18" t="s">
        <v>40</v>
      </c>
      <c r="T11" s="18" t="s">
        <v>38</v>
      </c>
      <c r="U11" s="18" t="str">
        <f t="shared" si="24"/>
        <v>WO</v>
      </c>
      <c r="V11" s="18" t="s">
        <v>38</v>
      </c>
      <c r="W11" s="18" t="s">
        <v>38</v>
      </c>
      <c r="X11" s="18" t="s">
        <v>39</v>
      </c>
      <c r="Y11" s="18" t="s">
        <v>38</v>
      </c>
      <c r="Z11" s="18" t="s">
        <v>38</v>
      </c>
      <c r="AA11" s="18" t="s">
        <v>38</v>
      </c>
      <c r="AB11" s="18" t="str">
        <f t="shared" si="24"/>
        <v>WO</v>
      </c>
      <c r="AC11" s="18" t="s">
        <v>38</v>
      </c>
      <c r="AD11" s="18" t="s">
        <v>38</v>
      </c>
      <c r="AE11" s="18" t="s">
        <v>38</v>
      </c>
      <c r="AF11" s="18" t="s">
        <v>38</v>
      </c>
      <c r="AG11" s="18" t="s">
        <v>38</v>
      </c>
      <c r="AH11" s="18" t="s">
        <v>38</v>
      </c>
      <c r="AI11" s="18" t="str">
        <f t="shared" si="24"/>
        <v>WO</v>
      </c>
      <c r="AJ11" s="18" t="s">
        <v>38</v>
      </c>
      <c r="AK11" s="18" t="s">
        <v>38</v>
      </c>
      <c r="AL11" s="18" t="s">
        <v>38</v>
      </c>
      <c r="AM11" s="18" t="s">
        <v>38</v>
      </c>
      <c r="AN11" s="19" t="s">
        <v>38</v>
      </c>
      <c r="AO11" s="32"/>
      <c r="AP11" s="34"/>
      <c r="AQ11" s="9">
        <v>3</v>
      </c>
      <c r="AR11" s="9">
        <v>1003</v>
      </c>
      <c r="AS11" s="9" t="str">
        <f t="shared" si="29"/>
        <v>January</v>
      </c>
      <c r="AT11" s="15" t="s">
        <v>5</v>
      </c>
      <c r="AU11" s="28">
        <f t="shared" si="25"/>
        <v>23</v>
      </c>
      <c r="AV11">
        <f t="shared" si="26"/>
        <v>2</v>
      </c>
      <c r="AW11">
        <f t="shared" si="27"/>
        <v>2</v>
      </c>
      <c r="AX11">
        <f t="shared" si="30"/>
        <v>4</v>
      </c>
      <c r="AY11" s="29">
        <f t="shared" si="31"/>
        <v>31</v>
      </c>
      <c r="AZ11" s="29">
        <f t="shared" si="32"/>
        <v>29</v>
      </c>
      <c r="BA11" s="30">
        <f t="shared" ca="1" si="33"/>
        <v>21517</v>
      </c>
      <c r="BB11" s="30">
        <f t="shared" ca="1" si="34"/>
        <v>741.9655172413793</v>
      </c>
      <c r="BC11" s="30">
        <f t="shared" ca="1" si="35"/>
        <v>1483.9310344827586</v>
      </c>
      <c r="BD11" s="30">
        <f t="shared" ca="1" si="36"/>
        <v>20033.068965517243</v>
      </c>
      <c r="BF11" s="34"/>
      <c r="BG11" s="31"/>
      <c r="BH11" s="31"/>
      <c r="BI11" s="31"/>
      <c r="BJ11" s="31"/>
    </row>
    <row r="12" spans="1:62" x14ac:dyDescent="0.3">
      <c r="C12" s="31"/>
      <c r="D12" s="31"/>
      <c r="E12" s="32"/>
      <c r="F12" s="8">
        <v>4</v>
      </c>
      <c r="G12" s="9">
        <v>1004</v>
      </c>
      <c r="H12" s="15" t="s">
        <v>6</v>
      </c>
      <c r="I12" s="17">
        <f t="shared" si="28"/>
        <v>4</v>
      </c>
      <c r="J12" s="18" t="s">
        <v>38</v>
      </c>
      <c r="K12" s="18" t="s">
        <v>40</v>
      </c>
      <c r="L12" s="18" t="s">
        <v>38</v>
      </c>
      <c r="M12" s="18" t="s">
        <v>38</v>
      </c>
      <c r="N12" s="18" t="str">
        <f t="shared" si="24"/>
        <v>WO</v>
      </c>
      <c r="O12" s="18" t="s">
        <v>38</v>
      </c>
      <c r="P12" s="18" t="s">
        <v>39</v>
      </c>
      <c r="Q12" s="18" t="s">
        <v>38</v>
      </c>
      <c r="R12" s="18" t="s">
        <v>38</v>
      </c>
      <c r="S12" s="18" t="s">
        <v>40</v>
      </c>
      <c r="T12" s="18" t="s">
        <v>38</v>
      </c>
      <c r="U12" s="18" t="str">
        <f t="shared" si="24"/>
        <v>WO</v>
      </c>
      <c r="V12" s="18" t="s">
        <v>38</v>
      </c>
      <c r="W12" s="18" t="s">
        <v>38</v>
      </c>
      <c r="X12" s="18" t="s">
        <v>38</v>
      </c>
      <c r="Y12" s="18" t="s">
        <v>38</v>
      </c>
      <c r="Z12" s="18" t="s">
        <v>38</v>
      </c>
      <c r="AA12" s="18" t="s">
        <v>38</v>
      </c>
      <c r="AB12" s="18" t="str">
        <f t="shared" si="24"/>
        <v>WO</v>
      </c>
      <c r="AC12" s="18" t="s">
        <v>39</v>
      </c>
      <c r="AD12" s="18" t="s">
        <v>38</v>
      </c>
      <c r="AE12" s="18" t="s">
        <v>39</v>
      </c>
      <c r="AF12" s="18" t="s">
        <v>38</v>
      </c>
      <c r="AG12" s="18" t="s">
        <v>38</v>
      </c>
      <c r="AH12" s="18" t="s">
        <v>38</v>
      </c>
      <c r="AI12" s="18" t="str">
        <f t="shared" si="24"/>
        <v>WO</v>
      </c>
      <c r="AJ12" s="18" t="s">
        <v>38</v>
      </c>
      <c r="AK12" s="18" t="s">
        <v>38</v>
      </c>
      <c r="AL12" s="18" t="s">
        <v>38</v>
      </c>
      <c r="AM12" s="18" t="s">
        <v>38</v>
      </c>
      <c r="AN12" s="19" t="s">
        <v>38</v>
      </c>
      <c r="AO12" s="32"/>
      <c r="AP12" s="34"/>
      <c r="AQ12" s="9">
        <v>4</v>
      </c>
      <c r="AR12" s="9">
        <v>1004</v>
      </c>
      <c r="AS12" s="9" t="str">
        <f t="shared" si="29"/>
        <v>January</v>
      </c>
      <c r="AT12" s="15" t="s">
        <v>6</v>
      </c>
      <c r="AU12" s="28">
        <f t="shared" si="25"/>
        <v>22</v>
      </c>
      <c r="AV12">
        <f t="shared" si="26"/>
        <v>3</v>
      </c>
      <c r="AW12">
        <f t="shared" si="27"/>
        <v>2</v>
      </c>
      <c r="AX12">
        <f t="shared" si="30"/>
        <v>4</v>
      </c>
      <c r="AY12" s="29">
        <f t="shared" si="31"/>
        <v>31</v>
      </c>
      <c r="AZ12" s="29">
        <f t="shared" si="32"/>
        <v>28</v>
      </c>
      <c r="BA12" s="30">
        <f t="shared" ca="1" si="33"/>
        <v>13447</v>
      </c>
      <c r="BB12" s="30">
        <f t="shared" ca="1" si="34"/>
        <v>480.25</v>
      </c>
      <c r="BC12" s="30">
        <f t="shared" ca="1" si="35"/>
        <v>1440.75</v>
      </c>
      <c r="BD12" s="30">
        <f t="shared" ca="1" si="36"/>
        <v>12006.25</v>
      </c>
      <c r="BF12" s="34"/>
      <c r="BG12" s="31"/>
      <c r="BH12" s="31"/>
      <c r="BI12" s="31"/>
      <c r="BJ12" s="31"/>
    </row>
    <row r="13" spans="1:62" x14ac:dyDescent="0.3">
      <c r="C13" s="31"/>
      <c r="D13" s="31"/>
      <c r="E13" s="32"/>
      <c r="F13" s="8">
        <v>5</v>
      </c>
      <c r="G13" s="9">
        <v>1005</v>
      </c>
      <c r="H13" s="15" t="s">
        <v>7</v>
      </c>
      <c r="I13" s="17">
        <f t="shared" si="28"/>
        <v>4</v>
      </c>
      <c r="J13" s="18" t="s">
        <v>38</v>
      </c>
      <c r="K13" s="18" t="s">
        <v>40</v>
      </c>
      <c r="L13" s="18" t="s">
        <v>39</v>
      </c>
      <c r="M13" s="18" t="s">
        <v>38</v>
      </c>
      <c r="N13" s="18" t="str">
        <f t="shared" si="24"/>
        <v>WO</v>
      </c>
      <c r="O13" s="18" t="s">
        <v>38</v>
      </c>
      <c r="P13" s="18" t="s">
        <v>38</v>
      </c>
      <c r="Q13" s="18" t="s">
        <v>38</v>
      </c>
      <c r="R13" s="18" t="s">
        <v>39</v>
      </c>
      <c r="S13" s="18" t="s">
        <v>40</v>
      </c>
      <c r="T13" s="18" t="s">
        <v>38</v>
      </c>
      <c r="U13" s="18" t="str">
        <f t="shared" si="24"/>
        <v>WO</v>
      </c>
      <c r="V13" s="18" t="s">
        <v>38</v>
      </c>
      <c r="W13" s="18" t="s">
        <v>38</v>
      </c>
      <c r="X13" s="18" t="s">
        <v>38</v>
      </c>
      <c r="Y13" s="18" t="s">
        <v>39</v>
      </c>
      <c r="Z13" s="18" t="s">
        <v>38</v>
      </c>
      <c r="AA13" s="18" t="s">
        <v>38</v>
      </c>
      <c r="AB13" s="18" t="str">
        <f t="shared" si="24"/>
        <v>WO</v>
      </c>
      <c r="AC13" s="18" t="s">
        <v>38</v>
      </c>
      <c r="AD13" s="18" t="s">
        <v>39</v>
      </c>
      <c r="AE13" s="18" t="s">
        <v>38</v>
      </c>
      <c r="AF13" s="18" t="s">
        <v>38</v>
      </c>
      <c r="AG13" s="18" t="s">
        <v>39</v>
      </c>
      <c r="AH13" s="18" t="s">
        <v>38</v>
      </c>
      <c r="AI13" s="18" t="str">
        <f t="shared" si="24"/>
        <v>WO</v>
      </c>
      <c r="AJ13" s="18" t="s">
        <v>38</v>
      </c>
      <c r="AK13" s="18" t="s">
        <v>38</v>
      </c>
      <c r="AL13" s="18" t="s">
        <v>38</v>
      </c>
      <c r="AM13" s="18" t="s">
        <v>38</v>
      </c>
      <c r="AN13" s="19" t="s">
        <v>38</v>
      </c>
      <c r="AO13" s="32"/>
      <c r="AP13" s="34"/>
      <c r="AQ13" s="9">
        <v>5</v>
      </c>
      <c r="AR13" s="9">
        <v>1005</v>
      </c>
      <c r="AS13" s="9" t="str">
        <f t="shared" si="29"/>
        <v>January</v>
      </c>
      <c r="AT13" s="15" t="s">
        <v>7</v>
      </c>
      <c r="AU13" s="28">
        <f t="shared" si="25"/>
        <v>20</v>
      </c>
      <c r="AV13">
        <f t="shared" si="26"/>
        <v>5</v>
      </c>
      <c r="AW13">
        <f t="shared" si="27"/>
        <v>2</v>
      </c>
      <c r="AX13">
        <f t="shared" si="30"/>
        <v>4</v>
      </c>
      <c r="AY13" s="29">
        <f t="shared" si="31"/>
        <v>31</v>
      </c>
      <c r="AZ13" s="29">
        <f t="shared" si="32"/>
        <v>26</v>
      </c>
      <c r="BA13" s="30">
        <f t="shared" ca="1" si="33"/>
        <v>22701</v>
      </c>
      <c r="BB13" s="30">
        <f t="shared" ca="1" si="34"/>
        <v>873.11538461538464</v>
      </c>
      <c r="BC13" s="30">
        <f t="shared" ca="1" si="35"/>
        <v>4365.5769230769229</v>
      </c>
      <c r="BD13" s="30">
        <f t="shared" ca="1" si="36"/>
        <v>18335.423076923078</v>
      </c>
      <c r="BF13" s="34"/>
      <c r="BG13" s="31"/>
      <c r="BH13" s="31"/>
      <c r="BI13" s="31"/>
      <c r="BJ13" s="31"/>
    </row>
    <row r="14" spans="1:62" x14ac:dyDescent="0.3">
      <c r="C14" s="31"/>
      <c r="D14" s="31"/>
      <c r="E14" s="32"/>
      <c r="F14" s="8">
        <v>6</v>
      </c>
      <c r="G14" s="9">
        <v>1006</v>
      </c>
      <c r="H14" s="15" t="s">
        <v>8</v>
      </c>
      <c r="I14" s="17">
        <f t="shared" si="28"/>
        <v>4</v>
      </c>
      <c r="J14" s="18" t="s">
        <v>38</v>
      </c>
      <c r="K14" s="18" t="s">
        <v>40</v>
      </c>
      <c r="L14" s="18" t="s">
        <v>39</v>
      </c>
      <c r="M14" s="18" t="s">
        <v>38</v>
      </c>
      <c r="N14" s="18" t="str">
        <f t="shared" si="24"/>
        <v>WO</v>
      </c>
      <c r="O14" s="18" t="s">
        <v>38</v>
      </c>
      <c r="P14" s="18" t="s">
        <v>38</v>
      </c>
      <c r="Q14" s="18" t="s">
        <v>38</v>
      </c>
      <c r="R14" s="18" t="s">
        <v>38</v>
      </c>
      <c r="S14" s="18" t="s">
        <v>40</v>
      </c>
      <c r="T14" s="18" t="s">
        <v>38</v>
      </c>
      <c r="U14" s="18" t="str">
        <f t="shared" si="24"/>
        <v>WO</v>
      </c>
      <c r="V14" s="18" t="s">
        <v>38</v>
      </c>
      <c r="W14" s="18" t="s">
        <v>38</v>
      </c>
      <c r="X14" s="18" t="s">
        <v>38</v>
      </c>
      <c r="Y14" s="18" t="s">
        <v>38</v>
      </c>
      <c r="Z14" s="18" t="s">
        <v>38</v>
      </c>
      <c r="AA14" s="18" t="s">
        <v>38</v>
      </c>
      <c r="AB14" s="18" t="str">
        <f t="shared" si="24"/>
        <v>WO</v>
      </c>
      <c r="AC14" s="18" t="s">
        <v>38</v>
      </c>
      <c r="AD14" s="18" t="s">
        <v>38</v>
      </c>
      <c r="AE14" s="18" t="s">
        <v>38</v>
      </c>
      <c r="AF14" s="18" t="s">
        <v>38</v>
      </c>
      <c r="AG14" s="18" t="s">
        <v>38</v>
      </c>
      <c r="AH14" s="18" t="s">
        <v>38</v>
      </c>
      <c r="AI14" s="18" t="str">
        <f t="shared" si="24"/>
        <v>WO</v>
      </c>
      <c r="AJ14" s="18" t="s">
        <v>38</v>
      </c>
      <c r="AK14" s="18" t="s">
        <v>38</v>
      </c>
      <c r="AL14" s="18" t="s">
        <v>38</v>
      </c>
      <c r="AM14" s="18" t="s">
        <v>38</v>
      </c>
      <c r="AN14" s="19" t="s">
        <v>38</v>
      </c>
      <c r="AO14" s="32"/>
      <c r="AP14" s="34"/>
      <c r="AQ14" s="9">
        <v>6</v>
      </c>
      <c r="AR14" s="9">
        <v>1006</v>
      </c>
      <c r="AS14" s="9" t="str">
        <f t="shared" si="29"/>
        <v>January</v>
      </c>
      <c r="AT14" s="15" t="s">
        <v>8</v>
      </c>
      <c r="AU14" s="28">
        <f t="shared" si="25"/>
        <v>24</v>
      </c>
      <c r="AV14">
        <f t="shared" si="26"/>
        <v>1</v>
      </c>
      <c r="AW14">
        <f t="shared" si="27"/>
        <v>2</v>
      </c>
      <c r="AX14">
        <f t="shared" si="30"/>
        <v>4</v>
      </c>
      <c r="AY14" s="29">
        <f t="shared" si="31"/>
        <v>31</v>
      </c>
      <c r="AZ14" s="29">
        <f t="shared" si="32"/>
        <v>30</v>
      </c>
      <c r="BA14" s="30">
        <f t="shared" ca="1" si="33"/>
        <v>40144</v>
      </c>
      <c r="BB14" s="30">
        <f t="shared" ca="1" si="34"/>
        <v>1338.1333333333334</v>
      </c>
      <c r="BC14" s="30">
        <f t="shared" ca="1" si="35"/>
        <v>1338.1333333333334</v>
      </c>
      <c r="BD14" s="30">
        <f t="shared" ca="1" si="36"/>
        <v>38805.866666666669</v>
      </c>
      <c r="BF14" s="34"/>
      <c r="BG14" s="31"/>
      <c r="BH14" s="31"/>
      <c r="BI14" s="31"/>
      <c r="BJ14" s="31"/>
    </row>
    <row r="15" spans="1:62" x14ac:dyDescent="0.3">
      <c r="C15" s="31"/>
      <c r="D15" s="31"/>
      <c r="E15" s="32"/>
      <c r="F15" s="8">
        <v>7</v>
      </c>
      <c r="G15" s="9">
        <v>1007</v>
      </c>
      <c r="H15" s="15" t="s">
        <v>9</v>
      </c>
      <c r="I15" s="17">
        <f t="shared" si="28"/>
        <v>4</v>
      </c>
      <c r="J15" s="18" t="s">
        <v>38</v>
      </c>
      <c r="K15" s="18" t="s">
        <v>40</v>
      </c>
      <c r="L15" s="18" t="s">
        <v>38</v>
      </c>
      <c r="M15" s="18" t="s">
        <v>38</v>
      </c>
      <c r="N15" s="18" t="str">
        <f t="shared" si="24"/>
        <v>WO</v>
      </c>
      <c r="O15" s="18" t="s">
        <v>38</v>
      </c>
      <c r="P15" s="18" t="s">
        <v>38</v>
      </c>
      <c r="Q15" s="18" t="s">
        <v>38</v>
      </c>
      <c r="R15" s="18" t="s">
        <v>38</v>
      </c>
      <c r="S15" s="18" t="s">
        <v>40</v>
      </c>
      <c r="T15" s="18" t="s">
        <v>38</v>
      </c>
      <c r="U15" s="18" t="str">
        <f t="shared" si="24"/>
        <v>WO</v>
      </c>
      <c r="V15" s="18" t="s">
        <v>38</v>
      </c>
      <c r="W15" s="18" t="s">
        <v>38</v>
      </c>
      <c r="X15" s="18" t="s">
        <v>38</v>
      </c>
      <c r="Y15" s="18" t="s">
        <v>38</v>
      </c>
      <c r="Z15" s="18" t="s">
        <v>38</v>
      </c>
      <c r="AA15" s="18" t="s">
        <v>38</v>
      </c>
      <c r="AB15" s="18" t="str">
        <f t="shared" si="24"/>
        <v>WO</v>
      </c>
      <c r="AC15" s="18" t="s">
        <v>38</v>
      </c>
      <c r="AD15" s="18" t="s">
        <v>38</v>
      </c>
      <c r="AE15" s="18" t="s">
        <v>38</v>
      </c>
      <c r="AF15" s="18" t="s">
        <v>38</v>
      </c>
      <c r="AG15" s="18" t="s">
        <v>38</v>
      </c>
      <c r="AH15" s="18" t="s">
        <v>38</v>
      </c>
      <c r="AI15" s="18" t="str">
        <f t="shared" si="24"/>
        <v>WO</v>
      </c>
      <c r="AJ15" s="18" t="s">
        <v>38</v>
      </c>
      <c r="AK15" s="18" t="s">
        <v>38</v>
      </c>
      <c r="AL15" s="18" t="s">
        <v>38</v>
      </c>
      <c r="AM15" s="18" t="s">
        <v>39</v>
      </c>
      <c r="AN15" s="19" t="s">
        <v>38</v>
      </c>
      <c r="AO15" s="32"/>
      <c r="AP15" s="34"/>
      <c r="AQ15" s="9">
        <v>7</v>
      </c>
      <c r="AR15" s="9">
        <v>1007</v>
      </c>
      <c r="AS15" s="9" t="str">
        <f t="shared" si="29"/>
        <v>January</v>
      </c>
      <c r="AT15" s="15" t="s">
        <v>9</v>
      </c>
      <c r="AU15" s="28">
        <f t="shared" si="25"/>
        <v>24</v>
      </c>
      <c r="AV15">
        <f t="shared" si="26"/>
        <v>1</v>
      </c>
      <c r="AW15">
        <f t="shared" si="27"/>
        <v>2</v>
      </c>
      <c r="AX15">
        <f t="shared" si="30"/>
        <v>4</v>
      </c>
      <c r="AY15" s="29">
        <f t="shared" si="31"/>
        <v>31</v>
      </c>
      <c r="AZ15" s="29">
        <f t="shared" si="32"/>
        <v>30</v>
      </c>
      <c r="BA15" s="30">
        <f t="shared" ca="1" si="33"/>
        <v>22143</v>
      </c>
      <c r="BB15" s="30">
        <f t="shared" ca="1" si="34"/>
        <v>738.1</v>
      </c>
      <c r="BC15" s="30">
        <f t="shared" ca="1" si="35"/>
        <v>738.1</v>
      </c>
      <c r="BD15" s="30">
        <f t="shared" ca="1" si="36"/>
        <v>21404.9</v>
      </c>
      <c r="BF15" s="34"/>
      <c r="BG15" s="31"/>
      <c r="BH15" s="31"/>
      <c r="BI15" s="31"/>
      <c r="BJ15" s="31"/>
    </row>
    <row r="16" spans="1:62" x14ac:dyDescent="0.3">
      <c r="C16" s="31"/>
      <c r="D16" s="31"/>
      <c r="E16" s="32"/>
      <c r="F16" s="8">
        <v>8</v>
      </c>
      <c r="G16" s="9">
        <v>1008</v>
      </c>
      <c r="H16" s="15" t="s">
        <v>10</v>
      </c>
      <c r="I16" s="17">
        <f t="shared" si="28"/>
        <v>4</v>
      </c>
      <c r="J16" s="18" t="s">
        <v>38</v>
      </c>
      <c r="K16" s="18" t="s">
        <v>40</v>
      </c>
      <c r="L16" s="18" t="s">
        <v>38</v>
      </c>
      <c r="M16" s="18" t="s">
        <v>38</v>
      </c>
      <c r="N16" s="18" t="str">
        <f t="shared" si="24"/>
        <v>WO</v>
      </c>
      <c r="O16" s="18" t="s">
        <v>38</v>
      </c>
      <c r="P16" s="18" t="s">
        <v>38</v>
      </c>
      <c r="Q16" s="18" t="s">
        <v>38</v>
      </c>
      <c r="R16" s="18" t="s">
        <v>38</v>
      </c>
      <c r="S16" s="18" t="s">
        <v>40</v>
      </c>
      <c r="T16" s="18" t="s">
        <v>38</v>
      </c>
      <c r="U16" s="18" t="str">
        <f t="shared" si="24"/>
        <v>WO</v>
      </c>
      <c r="V16" s="18" t="s">
        <v>38</v>
      </c>
      <c r="W16" s="18" t="s">
        <v>38</v>
      </c>
      <c r="X16" s="18" t="s">
        <v>40</v>
      </c>
      <c r="Y16" s="18" t="s">
        <v>38</v>
      </c>
      <c r="Z16" s="18" t="s">
        <v>38</v>
      </c>
      <c r="AA16" s="18" t="s">
        <v>38</v>
      </c>
      <c r="AB16" s="18" t="str">
        <f t="shared" si="24"/>
        <v>WO</v>
      </c>
      <c r="AC16" s="18" t="s">
        <v>38</v>
      </c>
      <c r="AD16" s="18" t="s">
        <v>38</v>
      </c>
      <c r="AE16" s="18" t="s">
        <v>38</v>
      </c>
      <c r="AF16" s="18" t="s">
        <v>39</v>
      </c>
      <c r="AG16" s="18" t="s">
        <v>38</v>
      </c>
      <c r="AH16" s="18" t="s">
        <v>38</v>
      </c>
      <c r="AI16" s="18" t="str">
        <f t="shared" si="24"/>
        <v>WO</v>
      </c>
      <c r="AJ16" s="18" t="s">
        <v>38</v>
      </c>
      <c r="AK16" s="18" t="s">
        <v>38</v>
      </c>
      <c r="AL16" s="18" t="s">
        <v>38</v>
      </c>
      <c r="AM16" s="18" t="s">
        <v>38</v>
      </c>
      <c r="AN16" s="19" t="s">
        <v>38</v>
      </c>
      <c r="AO16" s="32"/>
      <c r="AP16" s="34"/>
      <c r="AQ16" s="9">
        <v>8</v>
      </c>
      <c r="AR16" s="9">
        <v>1008</v>
      </c>
      <c r="AS16" s="9" t="str">
        <f t="shared" si="29"/>
        <v>January</v>
      </c>
      <c r="AT16" s="15" t="s">
        <v>10</v>
      </c>
      <c r="AU16" s="28">
        <f t="shared" si="25"/>
        <v>23</v>
      </c>
      <c r="AV16">
        <f t="shared" si="26"/>
        <v>1</v>
      </c>
      <c r="AW16">
        <f t="shared" si="27"/>
        <v>3</v>
      </c>
      <c r="AX16">
        <f t="shared" si="30"/>
        <v>4</v>
      </c>
      <c r="AY16" s="29">
        <f t="shared" si="31"/>
        <v>31</v>
      </c>
      <c r="AZ16" s="29">
        <f t="shared" si="32"/>
        <v>30</v>
      </c>
      <c r="BA16" s="30">
        <f t="shared" ca="1" si="33"/>
        <v>29581</v>
      </c>
      <c r="BB16" s="30">
        <f t="shared" ca="1" si="34"/>
        <v>986.0333333333333</v>
      </c>
      <c r="BC16" s="30">
        <f t="shared" ca="1" si="35"/>
        <v>986.0333333333333</v>
      </c>
      <c r="BD16" s="30">
        <f t="shared" ca="1" si="36"/>
        <v>28594.966666666667</v>
      </c>
      <c r="BF16" s="34"/>
      <c r="BG16" s="31"/>
      <c r="BH16" s="31"/>
      <c r="BI16" s="31"/>
      <c r="BJ16" s="31"/>
    </row>
    <row r="17" spans="1:62" x14ac:dyDescent="0.3">
      <c r="C17" s="31"/>
      <c r="D17" s="31"/>
      <c r="E17" s="32"/>
      <c r="F17" s="8">
        <v>9</v>
      </c>
      <c r="G17" s="9">
        <v>1009</v>
      </c>
      <c r="H17" s="15" t="s">
        <v>11</v>
      </c>
      <c r="I17" s="17">
        <f t="shared" si="28"/>
        <v>4</v>
      </c>
      <c r="J17" s="18" t="s">
        <v>38</v>
      </c>
      <c r="K17" s="18" t="s">
        <v>40</v>
      </c>
      <c r="L17" s="18" t="s">
        <v>38</v>
      </c>
      <c r="M17" s="18" t="s">
        <v>38</v>
      </c>
      <c r="N17" s="18" t="str">
        <f t="shared" si="24"/>
        <v>WO</v>
      </c>
      <c r="O17" s="18" t="s">
        <v>38</v>
      </c>
      <c r="P17" s="18" t="s">
        <v>39</v>
      </c>
      <c r="Q17" s="18" t="s">
        <v>38</v>
      </c>
      <c r="R17" s="18" t="s">
        <v>38</v>
      </c>
      <c r="S17" s="18" t="s">
        <v>40</v>
      </c>
      <c r="T17" s="18" t="s">
        <v>38</v>
      </c>
      <c r="U17" s="18" t="str">
        <f t="shared" si="24"/>
        <v>WO</v>
      </c>
      <c r="V17" s="18" t="s">
        <v>38</v>
      </c>
      <c r="W17" s="18" t="s">
        <v>38</v>
      </c>
      <c r="X17" s="18" t="s">
        <v>38</v>
      </c>
      <c r="Y17" s="18" t="s">
        <v>38</v>
      </c>
      <c r="Z17" s="18" t="s">
        <v>38</v>
      </c>
      <c r="AA17" s="18" t="s">
        <v>38</v>
      </c>
      <c r="AB17" s="18" t="str">
        <f t="shared" ref="AB17:AI28" si="37">IF(AB$7="Sun","WO","")</f>
        <v>WO</v>
      </c>
      <c r="AC17" s="18" t="s">
        <v>39</v>
      </c>
      <c r="AD17" s="18" t="s">
        <v>38</v>
      </c>
      <c r="AE17" s="18" t="s">
        <v>38</v>
      </c>
      <c r="AF17" s="18" t="s">
        <v>38</v>
      </c>
      <c r="AG17" s="18" t="s">
        <v>38</v>
      </c>
      <c r="AH17" s="18" t="s">
        <v>38</v>
      </c>
      <c r="AI17" s="18" t="str">
        <f t="shared" si="37"/>
        <v>WO</v>
      </c>
      <c r="AJ17" s="18" t="s">
        <v>39</v>
      </c>
      <c r="AK17" s="18" t="s">
        <v>38</v>
      </c>
      <c r="AL17" s="18" t="s">
        <v>38</v>
      </c>
      <c r="AM17" s="18" t="s">
        <v>38</v>
      </c>
      <c r="AN17" s="19" t="s">
        <v>38</v>
      </c>
      <c r="AO17" s="32"/>
      <c r="AP17" s="34"/>
      <c r="AQ17" s="9">
        <v>9</v>
      </c>
      <c r="AR17" s="9">
        <v>1009</v>
      </c>
      <c r="AS17" s="9" t="str">
        <f t="shared" si="29"/>
        <v>January</v>
      </c>
      <c r="AT17" s="15" t="s">
        <v>11</v>
      </c>
      <c r="AU17" s="28">
        <f t="shared" si="25"/>
        <v>22</v>
      </c>
      <c r="AV17">
        <f t="shared" si="26"/>
        <v>3</v>
      </c>
      <c r="AW17">
        <f t="shared" si="27"/>
        <v>2</v>
      </c>
      <c r="AX17">
        <f t="shared" si="30"/>
        <v>4</v>
      </c>
      <c r="AY17" s="29">
        <f t="shared" si="31"/>
        <v>31</v>
      </c>
      <c r="AZ17" s="29">
        <f t="shared" si="32"/>
        <v>28</v>
      </c>
      <c r="BA17" s="30">
        <f t="shared" ca="1" si="33"/>
        <v>25350</v>
      </c>
      <c r="BB17" s="30">
        <f t="shared" ca="1" si="34"/>
        <v>905.35714285714289</v>
      </c>
      <c r="BC17" s="30">
        <f t="shared" ca="1" si="35"/>
        <v>2716.0714285714284</v>
      </c>
      <c r="BD17" s="30">
        <f t="shared" ca="1" si="36"/>
        <v>22633.928571428572</v>
      </c>
      <c r="BF17" s="34"/>
      <c r="BG17" s="31"/>
      <c r="BH17" s="31"/>
      <c r="BI17" s="31"/>
      <c r="BJ17" s="31"/>
    </row>
    <row r="18" spans="1:62" x14ac:dyDescent="0.3">
      <c r="C18" s="31"/>
      <c r="D18" s="31"/>
      <c r="E18" s="32"/>
      <c r="F18" s="8">
        <v>10</v>
      </c>
      <c r="G18" s="9">
        <v>1010</v>
      </c>
      <c r="H18" s="15" t="s">
        <v>12</v>
      </c>
      <c r="I18" s="17">
        <f t="shared" si="28"/>
        <v>4</v>
      </c>
      <c r="J18" s="18" t="s">
        <v>38</v>
      </c>
      <c r="K18" s="18" t="s">
        <v>40</v>
      </c>
      <c r="L18" s="18" t="s">
        <v>39</v>
      </c>
      <c r="M18" s="18" t="s">
        <v>38</v>
      </c>
      <c r="N18" s="18" t="str">
        <f t="shared" ref="N18:U28" si="38">IF(N$7="Sun","WO","")</f>
        <v>WO</v>
      </c>
      <c r="O18" s="18" t="s">
        <v>38</v>
      </c>
      <c r="P18" s="18" t="s">
        <v>38</v>
      </c>
      <c r="Q18" s="18" t="s">
        <v>38</v>
      </c>
      <c r="R18" s="18" t="s">
        <v>39</v>
      </c>
      <c r="S18" s="18" t="s">
        <v>40</v>
      </c>
      <c r="T18" s="18" t="s">
        <v>38</v>
      </c>
      <c r="U18" s="18" t="str">
        <f t="shared" si="38"/>
        <v>WO</v>
      </c>
      <c r="V18" s="18" t="s">
        <v>38</v>
      </c>
      <c r="W18" s="18" t="s">
        <v>38</v>
      </c>
      <c r="X18" s="18" t="s">
        <v>38</v>
      </c>
      <c r="Y18" s="18" t="s">
        <v>38</v>
      </c>
      <c r="Z18" s="18" t="s">
        <v>38</v>
      </c>
      <c r="AA18" s="18" t="s">
        <v>38</v>
      </c>
      <c r="AB18" s="18" t="str">
        <f t="shared" si="37"/>
        <v>WO</v>
      </c>
      <c r="AC18" s="18" t="s">
        <v>38</v>
      </c>
      <c r="AD18" s="18" t="s">
        <v>38</v>
      </c>
      <c r="AE18" s="18" t="s">
        <v>38</v>
      </c>
      <c r="AF18" s="18" t="s">
        <v>38</v>
      </c>
      <c r="AG18" s="18" t="s">
        <v>38</v>
      </c>
      <c r="AH18" s="18" t="s">
        <v>38</v>
      </c>
      <c r="AI18" s="18" t="str">
        <f t="shared" si="37"/>
        <v>WO</v>
      </c>
      <c r="AJ18" s="18" t="s">
        <v>39</v>
      </c>
      <c r="AK18" s="18" t="s">
        <v>38</v>
      </c>
      <c r="AL18" s="18" t="s">
        <v>38</v>
      </c>
      <c r="AM18" s="18" t="s">
        <v>38</v>
      </c>
      <c r="AN18" s="19" t="s">
        <v>38</v>
      </c>
      <c r="AO18" s="32"/>
      <c r="AP18" s="34"/>
      <c r="AQ18" s="9">
        <v>10</v>
      </c>
      <c r="AR18" s="9">
        <v>1010</v>
      </c>
      <c r="AS18" s="9" t="str">
        <f t="shared" si="29"/>
        <v>January</v>
      </c>
      <c r="AT18" s="15" t="s">
        <v>12</v>
      </c>
      <c r="AU18" s="28">
        <f t="shared" si="25"/>
        <v>22</v>
      </c>
      <c r="AV18">
        <f t="shared" si="26"/>
        <v>3</v>
      </c>
      <c r="AW18">
        <f t="shared" si="27"/>
        <v>2</v>
      </c>
      <c r="AX18">
        <f t="shared" si="30"/>
        <v>4</v>
      </c>
      <c r="AY18" s="29">
        <f t="shared" si="31"/>
        <v>31</v>
      </c>
      <c r="AZ18" s="29">
        <f t="shared" si="32"/>
        <v>28</v>
      </c>
      <c r="BA18" s="30">
        <f t="shared" ca="1" si="33"/>
        <v>31610</v>
      </c>
      <c r="BB18" s="30">
        <f t="shared" ca="1" si="34"/>
        <v>1128.9285714285713</v>
      </c>
      <c r="BC18" s="30">
        <f t="shared" ca="1" si="35"/>
        <v>3386.7857142857138</v>
      </c>
      <c r="BD18" s="30">
        <f t="shared" ca="1" si="36"/>
        <v>28223.214285714286</v>
      </c>
      <c r="BF18" s="34"/>
      <c r="BG18" s="31"/>
      <c r="BH18" s="31"/>
      <c r="BI18" s="31"/>
      <c r="BJ18" s="31"/>
    </row>
    <row r="19" spans="1:62" x14ac:dyDescent="0.3">
      <c r="C19" s="31"/>
      <c r="D19" s="31"/>
      <c r="E19" s="32"/>
      <c r="F19" s="8">
        <v>11</v>
      </c>
      <c r="G19" s="9">
        <v>1011</v>
      </c>
      <c r="H19" s="15" t="s">
        <v>13</v>
      </c>
      <c r="I19" s="17">
        <f t="shared" si="28"/>
        <v>4</v>
      </c>
      <c r="J19" s="18" t="s">
        <v>38</v>
      </c>
      <c r="K19" s="18" t="s">
        <v>40</v>
      </c>
      <c r="L19" s="18" t="s">
        <v>38</v>
      </c>
      <c r="M19" s="18" t="s">
        <v>38</v>
      </c>
      <c r="N19" s="18" t="str">
        <f t="shared" si="38"/>
        <v>WO</v>
      </c>
      <c r="O19" s="18" t="s">
        <v>38</v>
      </c>
      <c r="P19" s="18" t="s">
        <v>38</v>
      </c>
      <c r="Q19" s="18" t="s">
        <v>38</v>
      </c>
      <c r="R19" s="18" t="s">
        <v>38</v>
      </c>
      <c r="S19" s="18" t="s">
        <v>40</v>
      </c>
      <c r="T19" s="18" t="s">
        <v>38</v>
      </c>
      <c r="U19" s="18" t="str">
        <f t="shared" si="38"/>
        <v>WO</v>
      </c>
      <c r="V19" s="18" t="s">
        <v>38</v>
      </c>
      <c r="W19" s="18" t="s">
        <v>38</v>
      </c>
      <c r="X19" s="18" t="s">
        <v>38</v>
      </c>
      <c r="Y19" s="18" t="s">
        <v>38</v>
      </c>
      <c r="Z19" s="18" t="s">
        <v>38</v>
      </c>
      <c r="AA19" s="18" t="s">
        <v>38</v>
      </c>
      <c r="AB19" s="18" t="str">
        <f t="shared" si="37"/>
        <v>WO</v>
      </c>
      <c r="AC19" s="18" t="s">
        <v>38</v>
      </c>
      <c r="AD19" s="18" t="s">
        <v>38</v>
      </c>
      <c r="AE19" s="18" t="s">
        <v>38</v>
      </c>
      <c r="AF19" s="18" t="s">
        <v>38</v>
      </c>
      <c r="AG19" s="18" t="s">
        <v>38</v>
      </c>
      <c r="AH19" s="18" t="s">
        <v>38</v>
      </c>
      <c r="AI19" s="18" t="str">
        <f t="shared" si="37"/>
        <v>WO</v>
      </c>
      <c r="AJ19" s="18" t="s">
        <v>38</v>
      </c>
      <c r="AK19" s="18" t="s">
        <v>38</v>
      </c>
      <c r="AL19" s="18" t="s">
        <v>38</v>
      </c>
      <c r="AM19" s="18" t="s">
        <v>38</v>
      </c>
      <c r="AN19" s="19" t="s">
        <v>38</v>
      </c>
      <c r="AO19" s="32"/>
      <c r="AP19" s="34"/>
      <c r="AQ19" s="9">
        <v>11</v>
      </c>
      <c r="AR19" s="9">
        <v>1011</v>
      </c>
      <c r="AS19" s="9" t="str">
        <f t="shared" si="29"/>
        <v>January</v>
      </c>
      <c r="AT19" s="15" t="s">
        <v>13</v>
      </c>
      <c r="AU19" s="28">
        <f t="shared" si="25"/>
        <v>25</v>
      </c>
      <c r="AV19">
        <f t="shared" si="26"/>
        <v>0</v>
      </c>
      <c r="AW19">
        <f t="shared" si="27"/>
        <v>2</v>
      </c>
      <c r="AX19">
        <f t="shared" si="30"/>
        <v>4</v>
      </c>
      <c r="AY19" s="29">
        <f t="shared" si="31"/>
        <v>31</v>
      </c>
      <c r="AZ19" s="29">
        <f t="shared" si="32"/>
        <v>31</v>
      </c>
      <c r="BA19" s="30">
        <f t="shared" ca="1" si="33"/>
        <v>25778</v>
      </c>
      <c r="BB19" s="30">
        <f t="shared" ca="1" si="34"/>
        <v>831.54838709677415</v>
      </c>
      <c r="BC19" s="30">
        <f t="shared" ca="1" si="35"/>
        <v>0</v>
      </c>
      <c r="BD19" s="30">
        <f t="shared" ca="1" si="36"/>
        <v>25778</v>
      </c>
      <c r="BF19" s="34"/>
      <c r="BG19" s="31"/>
      <c r="BH19" s="31"/>
      <c r="BI19" s="31"/>
      <c r="BJ19" s="31"/>
    </row>
    <row r="20" spans="1:62" x14ac:dyDescent="0.3">
      <c r="C20" s="31"/>
      <c r="D20" s="31"/>
      <c r="E20" s="32"/>
      <c r="F20" s="8">
        <v>12</v>
      </c>
      <c r="G20" s="9">
        <v>1012</v>
      </c>
      <c r="H20" s="15" t="s">
        <v>14</v>
      </c>
      <c r="I20" s="17">
        <f t="shared" si="28"/>
        <v>4</v>
      </c>
      <c r="J20" s="18" t="s">
        <v>38</v>
      </c>
      <c r="K20" s="18" t="s">
        <v>40</v>
      </c>
      <c r="L20" s="18" t="s">
        <v>38</v>
      </c>
      <c r="M20" s="18" t="s">
        <v>38</v>
      </c>
      <c r="N20" s="18" t="str">
        <f t="shared" si="38"/>
        <v>WO</v>
      </c>
      <c r="O20" s="18" t="s">
        <v>38</v>
      </c>
      <c r="P20" s="18" t="s">
        <v>39</v>
      </c>
      <c r="Q20" s="18" t="s">
        <v>38</v>
      </c>
      <c r="R20" s="18" t="s">
        <v>38</v>
      </c>
      <c r="S20" s="18" t="s">
        <v>40</v>
      </c>
      <c r="T20" s="18" t="s">
        <v>38</v>
      </c>
      <c r="U20" s="18" t="str">
        <f t="shared" si="38"/>
        <v>WO</v>
      </c>
      <c r="V20" s="18" t="s">
        <v>38</v>
      </c>
      <c r="W20" s="18" t="s">
        <v>38</v>
      </c>
      <c r="X20" s="18" t="s">
        <v>38</v>
      </c>
      <c r="Y20" s="18" t="s">
        <v>38</v>
      </c>
      <c r="Z20" s="18" t="s">
        <v>38</v>
      </c>
      <c r="AA20" s="18" t="s">
        <v>38</v>
      </c>
      <c r="AB20" s="18" t="str">
        <f t="shared" si="37"/>
        <v>WO</v>
      </c>
      <c r="AC20" s="18" t="s">
        <v>38</v>
      </c>
      <c r="AD20" s="18" t="s">
        <v>39</v>
      </c>
      <c r="AE20" s="18" t="s">
        <v>39</v>
      </c>
      <c r="AF20" s="18" t="s">
        <v>38</v>
      </c>
      <c r="AG20" s="18" t="s">
        <v>38</v>
      </c>
      <c r="AH20" s="18" t="s">
        <v>38</v>
      </c>
      <c r="AI20" s="18" t="str">
        <f t="shared" si="37"/>
        <v>WO</v>
      </c>
      <c r="AJ20" s="18" t="s">
        <v>38</v>
      </c>
      <c r="AK20" s="18" t="s">
        <v>39</v>
      </c>
      <c r="AL20" s="18" t="s">
        <v>38</v>
      </c>
      <c r="AM20" s="18" t="s">
        <v>39</v>
      </c>
      <c r="AN20" s="19" t="s">
        <v>38</v>
      </c>
      <c r="AO20" s="32"/>
      <c r="AP20" s="34"/>
      <c r="AQ20" s="9">
        <v>12</v>
      </c>
      <c r="AR20" s="9">
        <v>1012</v>
      </c>
      <c r="AS20" s="9" t="str">
        <f t="shared" si="29"/>
        <v>January</v>
      </c>
      <c r="AT20" s="15" t="s">
        <v>14</v>
      </c>
      <c r="AU20" s="28">
        <f t="shared" si="25"/>
        <v>20</v>
      </c>
      <c r="AV20">
        <f t="shared" si="26"/>
        <v>5</v>
      </c>
      <c r="AW20">
        <f t="shared" si="27"/>
        <v>2</v>
      </c>
      <c r="AX20">
        <f t="shared" si="30"/>
        <v>4</v>
      </c>
      <c r="AY20" s="29">
        <f t="shared" si="31"/>
        <v>31</v>
      </c>
      <c r="AZ20" s="29">
        <f t="shared" si="32"/>
        <v>26</v>
      </c>
      <c r="BA20" s="30">
        <f t="shared" ca="1" si="33"/>
        <v>31698</v>
      </c>
      <c r="BB20" s="30">
        <f t="shared" ca="1" si="34"/>
        <v>1219.1538461538462</v>
      </c>
      <c r="BC20" s="30">
        <f t="shared" ca="1" si="35"/>
        <v>6095.7692307692305</v>
      </c>
      <c r="BD20" s="30">
        <f t="shared" ca="1" si="36"/>
        <v>25602.23076923077</v>
      </c>
      <c r="BF20" s="34"/>
      <c r="BG20" s="31"/>
      <c r="BH20" s="31"/>
      <c r="BI20" s="31"/>
      <c r="BJ20" s="31"/>
    </row>
    <row r="21" spans="1:62" x14ac:dyDescent="0.3">
      <c r="C21" s="31"/>
      <c r="D21" s="31"/>
      <c r="E21" s="32"/>
      <c r="F21" s="8">
        <v>13</v>
      </c>
      <c r="G21" s="9">
        <v>1013</v>
      </c>
      <c r="H21" s="15" t="s">
        <v>15</v>
      </c>
      <c r="I21" s="17">
        <f t="shared" si="28"/>
        <v>4</v>
      </c>
      <c r="J21" s="18" t="s">
        <v>38</v>
      </c>
      <c r="K21" s="18" t="s">
        <v>40</v>
      </c>
      <c r="L21" s="18" t="s">
        <v>38</v>
      </c>
      <c r="M21" s="18" t="s">
        <v>38</v>
      </c>
      <c r="N21" s="18" t="str">
        <f t="shared" si="38"/>
        <v>WO</v>
      </c>
      <c r="O21" s="18" t="s">
        <v>38</v>
      </c>
      <c r="P21" s="18" t="s">
        <v>38</v>
      </c>
      <c r="Q21" s="18" t="s">
        <v>38</v>
      </c>
      <c r="R21" s="18" t="s">
        <v>38</v>
      </c>
      <c r="S21" s="18" t="s">
        <v>40</v>
      </c>
      <c r="T21" s="18" t="s">
        <v>38</v>
      </c>
      <c r="U21" s="18" t="str">
        <f t="shared" si="38"/>
        <v>WO</v>
      </c>
      <c r="V21" s="18" t="s">
        <v>38</v>
      </c>
      <c r="W21" s="18" t="s">
        <v>38</v>
      </c>
      <c r="X21" s="18" t="s">
        <v>38</v>
      </c>
      <c r="Y21" s="18" t="s">
        <v>38</v>
      </c>
      <c r="Z21" s="18" t="s">
        <v>38</v>
      </c>
      <c r="AA21" s="18" t="s">
        <v>38</v>
      </c>
      <c r="AB21" s="18" t="str">
        <f t="shared" si="37"/>
        <v>WO</v>
      </c>
      <c r="AC21" s="18" t="s">
        <v>38</v>
      </c>
      <c r="AD21" s="18" t="s">
        <v>38</v>
      </c>
      <c r="AE21" s="18" t="s">
        <v>38</v>
      </c>
      <c r="AF21" s="18" t="s">
        <v>38</v>
      </c>
      <c r="AG21" s="18" t="s">
        <v>38</v>
      </c>
      <c r="AH21" s="18" t="s">
        <v>38</v>
      </c>
      <c r="AI21" s="18" t="str">
        <f t="shared" si="37"/>
        <v>WO</v>
      </c>
      <c r="AJ21" s="18" t="s">
        <v>38</v>
      </c>
      <c r="AK21" s="18" t="s">
        <v>38</v>
      </c>
      <c r="AL21" s="18" t="s">
        <v>38</v>
      </c>
      <c r="AM21" s="18" t="s">
        <v>38</v>
      </c>
      <c r="AN21" s="19" t="s">
        <v>38</v>
      </c>
      <c r="AO21" s="32"/>
      <c r="AP21" s="34"/>
      <c r="AQ21" s="9">
        <v>13</v>
      </c>
      <c r="AR21" s="9">
        <v>1013</v>
      </c>
      <c r="AS21" s="9" t="str">
        <f t="shared" si="29"/>
        <v>January</v>
      </c>
      <c r="AT21" s="15" t="s">
        <v>15</v>
      </c>
      <c r="AU21" s="28">
        <f t="shared" si="25"/>
        <v>25</v>
      </c>
      <c r="AV21">
        <f t="shared" si="26"/>
        <v>0</v>
      </c>
      <c r="AW21">
        <f t="shared" si="27"/>
        <v>2</v>
      </c>
      <c r="AX21">
        <f t="shared" si="30"/>
        <v>4</v>
      </c>
      <c r="AY21" s="29">
        <f t="shared" si="31"/>
        <v>31</v>
      </c>
      <c r="AZ21" s="29">
        <f t="shared" si="32"/>
        <v>31</v>
      </c>
      <c r="BA21" s="30">
        <f t="shared" ca="1" si="33"/>
        <v>34162</v>
      </c>
      <c r="BB21" s="30">
        <f t="shared" ca="1" si="34"/>
        <v>1102</v>
      </c>
      <c r="BC21" s="30">
        <f t="shared" ca="1" si="35"/>
        <v>0</v>
      </c>
      <c r="BD21" s="30">
        <f t="shared" ca="1" si="36"/>
        <v>34162</v>
      </c>
      <c r="BF21" s="34"/>
      <c r="BG21" s="31"/>
      <c r="BH21" s="31"/>
      <c r="BI21" s="31"/>
      <c r="BJ21" s="31"/>
    </row>
    <row r="22" spans="1:62" x14ac:dyDescent="0.3">
      <c r="C22" s="31"/>
      <c r="D22" s="31"/>
      <c r="E22" s="32"/>
      <c r="F22" s="8">
        <v>14</v>
      </c>
      <c r="G22" s="9">
        <v>1014</v>
      </c>
      <c r="H22" s="15" t="s">
        <v>16</v>
      </c>
      <c r="I22" s="17">
        <f t="shared" si="28"/>
        <v>4</v>
      </c>
      <c r="J22" s="18" t="s">
        <v>38</v>
      </c>
      <c r="K22" s="18" t="s">
        <v>40</v>
      </c>
      <c r="L22" s="18" t="s">
        <v>38</v>
      </c>
      <c r="M22" s="18" t="s">
        <v>38</v>
      </c>
      <c r="N22" s="18" t="str">
        <f t="shared" si="38"/>
        <v>WO</v>
      </c>
      <c r="O22" s="18" t="s">
        <v>38</v>
      </c>
      <c r="P22" s="18" t="s">
        <v>38</v>
      </c>
      <c r="Q22" s="18" t="s">
        <v>38</v>
      </c>
      <c r="R22" s="18" t="s">
        <v>38</v>
      </c>
      <c r="S22" s="18" t="s">
        <v>40</v>
      </c>
      <c r="T22" s="18" t="s">
        <v>38</v>
      </c>
      <c r="U22" s="18" t="str">
        <f t="shared" si="38"/>
        <v>WO</v>
      </c>
      <c r="V22" s="18" t="s">
        <v>39</v>
      </c>
      <c r="W22" s="18" t="s">
        <v>38</v>
      </c>
      <c r="X22" s="18" t="s">
        <v>38</v>
      </c>
      <c r="Y22" s="18" t="s">
        <v>39</v>
      </c>
      <c r="Z22" s="18" t="s">
        <v>38</v>
      </c>
      <c r="AA22" s="18" t="s">
        <v>38</v>
      </c>
      <c r="AB22" s="18" t="str">
        <f t="shared" si="37"/>
        <v>WO</v>
      </c>
      <c r="AC22" s="18" t="s">
        <v>38</v>
      </c>
      <c r="AD22" s="18" t="s">
        <v>38</v>
      </c>
      <c r="AE22" s="18" t="s">
        <v>38</v>
      </c>
      <c r="AF22" s="18" t="s">
        <v>38</v>
      </c>
      <c r="AG22" s="18" t="s">
        <v>38</v>
      </c>
      <c r="AH22" s="18" t="s">
        <v>38</v>
      </c>
      <c r="AI22" s="18" t="str">
        <f t="shared" si="37"/>
        <v>WO</v>
      </c>
      <c r="AJ22" s="18" t="s">
        <v>38</v>
      </c>
      <c r="AK22" s="18" t="s">
        <v>38</v>
      </c>
      <c r="AL22" s="18" t="s">
        <v>38</v>
      </c>
      <c r="AM22" s="18" t="s">
        <v>38</v>
      </c>
      <c r="AN22" s="19" t="s">
        <v>38</v>
      </c>
      <c r="AO22" s="32"/>
      <c r="AP22" s="34"/>
      <c r="AQ22" s="9">
        <v>14</v>
      </c>
      <c r="AR22" s="9">
        <v>1014</v>
      </c>
      <c r="AS22" s="9" t="str">
        <f t="shared" si="29"/>
        <v>January</v>
      </c>
      <c r="AT22" s="15" t="s">
        <v>16</v>
      </c>
      <c r="AU22" s="28">
        <f t="shared" si="25"/>
        <v>23</v>
      </c>
      <c r="AV22">
        <f t="shared" si="26"/>
        <v>2</v>
      </c>
      <c r="AW22">
        <f t="shared" si="27"/>
        <v>2</v>
      </c>
      <c r="AX22">
        <f t="shared" si="30"/>
        <v>4</v>
      </c>
      <c r="AY22" s="29">
        <f t="shared" si="31"/>
        <v>31</v>
      </c>
      <c r="AZ22" s="29">
        <f t="shared" si="32"/>
        <v>29</v>
      </c>
      <c r="BA22" s="30">
        <f t="shared" ca="1" si="33"/>
        <v>44746</v>
      </c>
      <c r="BB22" s="30">
        <f t="shared" ca="1" si="34"/>
        <v>1542.9655172413793</v>
      </c>
      <c r="BC22" s="30">
        <f t="shared" ca="1" si="35"/>
        <v>3085.9310344827586</v>
      </c>
      <c r="BD22" s="30">
        <f t="shared" ca="1" si="36"/>
        <v>41660.068965517239</v>
      </c>
      <c r="BF22" s="34"/>
      <c r="BG22" s="31"/>
      <c r="BH22" s="31"/>
      <c r="BI22" s="31"/>
      <c r="BJ22" s="31"/>
    </row>
    <row r="23" spans="1:62" x14ac:dyDescent="0.3">
      <c r="C23" s="31"/>
      <c r="D23" s="31"/>
      <c r="E23" s="32"/>
      <c r="F23" s="8">
        <v>15</v>
      </c>
      <c r="G23" s="9">
        <v>1015</v>
      </c>
      <c r="H23" s="15" t="s">
        <v>17</v>
      </c>
      <c r="I23" s="17">
        <f t="shared" si="28"/>
        <v>4</v>
      </c>
      <c r="J23" s="18" t="s">
        <v>38</v>
      </c>
      <c r="K23" s="18" t="s">
        <v>40</v>
      </c>
      <c r="L23" s="18" t="s">
        <v>38</v>
      </c>
      <c r="M23" s="18" t="s">
        <v>38</v>
      </c>
      <c r="N23" s="18" t="str">
        <f t="shared" si="38"/>
        <v>WO</v>
      </c>
      <c r="O23" s="18" t="s">
        <v>38</v>
      </c>
      <c r="P23" s="18" t="s">
        <v>38</v>
      </c>
      <c r="Q23" s="18" t="s">
        <v>39</v>
      </c>
      <c r="R23" s="18" t="s">
        <v>38</v>
      </c>
      <c r="S23" s="18" t="s">
        <v>40</v>
      </c>
      <c r="T23" s="18" t="s">
        <v>38</v>
      </c>
      <c r="U23" s="18" t="str">
        <f t="shared" si="38"/>
        <v>WO</v>
      </c>
      <c r="V23" s="18" t="s">
        <v>38</v>
      </c>
      <c r="W23" s="18" t="s">
        <v>38</v>
      </c>
      <c r="X23" s="18" t="s">
        <v>38</v>
      </c>
      <c r="Y23" s="18" t="s">
        <v>38</v>
      </c>
      <c r="Z23" s="18" t="s">
        <v>38</v>
      </c>
      <c r="AA23" s="18" t="s">
        <v>38</v>
      </c>
      <c r="AB23" s="18" t="str">
        <f t="shared" si="37"/>
        <v>WO</v>
      </c>
      <c r="AC23" s="18" t="s">
        <v>38</v>
      </c>
      <c r="AD23" s="18" t="s">
        <v>38</v>
      </c>
      <c r="AE23" s="18" t="s">
        <v>38</v>
      </c>
      <c r="AF23" s="18" t="s">
        <v>38</v>
      </c>
      <c r="AG23" s="18" t="s">
        <v>38</v>
      </c>
      <c r="AH23" s="18" t="s">
        <v>38</v>
      </c>
      <c r="AI23" s="18" t="str">
        <f t="shared" si="37"/>
        <v>WO</v>
      </c>
      <c r="AJ23" s="18" t="s">
        <v>38</v>
      </c>
      <c r="AK23" s="18" t="s">
        <v>38</v>
      </c>
      <c r="AL23" s="18" t="s">
        <v>39</v>
      </c>
      <c r="AM23" s="18" t="s">
        <v>38</v>
      </c>
      <c r="AN23" s="19" t="s">
        <v>38</v>
      </c>
      <c r="AO23" s="32"/>
      <c r="AP23" s="34"/>
      <c r="AQ23" s="9">
        <v>15</v>
      </c>
      <c r="AR23" s="9">
        <v>1015</v>
      </c>
      <c r="AS23" s="9" t="str">
        <f t="shared" si="29"/>
        <v>January</v>
      </c>
      <c r="AT23" s="15" t="s">
        <v>17</v>
      </c>
      <c r="AU23" s="28">
        <f t="shared" si="25"/>
        <v>23</v>
      </c>
      <c r="AV23">
        <f t="shared" si="26"/>
        <v>2</v>
      </c>
      <c r="AW23">
        <f t="shared" si="27"/>
        <v>2</v>
      </c>
      <c r="AX23">
        <f t="shared" si="30"/>
        <v>4</v>
      </c>
      <c r="AY23" s="29">
        <f t="shared" si="31"/>
        <v>31</v>
      </c>
      <c r="AZ23" s="29">
        <f t="shared" si="32"/>
        <v>29</v>
      </c>
      <c r="BA23" s="30">
        <f t="shared" ca="1" si="33"/>
        <v>49038</v>
      </c>
      <c r="BB23" s="30">
        <f t="shared" ca="1" si="34"/>
        <v>1690.9655172413793</v>
      </c>
      <c r="BC23" s="30">
        <f t="shared" ca="1" si="35"/>
        <v>3381.9310344827586</v>
      </c>
      <c r="BD23" s="30">
        <f t="shared" ca="1" si="36"/>
        <v>45656.068965517239</v>
      </c>
      <c r="BF23" s="34"/>
      <c r="BG23" s="31"/>
      <c r="BH23" s="31"/>
      <c r="BI23" s="31"/>
      <c r="BJ23" s="31"/>
    </row>
    <row r="24" spans="1:62" x14ac:dyDescent="0.3">
      <c r="C24" s="31"/>
      <c r="D24" s="31"/>
      <c r="E24" s="32"/>
      <c r="F24" s="8">
        <v>16</v>
      </c>
      <c r="G24" s="9">
        <v>1016</v>
      </c>
      <c r="H24" s="15" t="s">
        <v>18</v>
      </c>
      <c r="I24" s="17">
        <f t="shared" si="28"/>
        <v>4</v>
      </c>
      <c r="J24" s="18" t="s">
        <v>38</v>
      </c>
      <c r="K24" s="18" t="s">
        <v>40</v>
      </c>
      <c r="L24" s="18" t="s">
        <v>39</v>
      </c>
      <c r="M24" s="18" t="s">
        <v>38</v>
      </c>
      <c r="N24" s="18" t="str">
        <f t="shared" si="38"/>
        <v>WO</v>
      </c>
      <c r="O24" s="18" t="s">
        <v>38</v>
      </c>
      <c r="P24" s="18" t="s">
        <v>38</v>
      </c>
      <c r="Q24" s="18" t="s">
        <v>38</v>
      </c>
      <c r="R24" s="18" t="s">
        <v>38</v>
      </c>
      <c r="S24" s="18" t="s">
        <v>40</v>
      </c>
      <c r="T24" s="18" t="s">
        <v>38</v>
      </c>
      <c r="U24" s="18" t="str">
        <f t="shared" si="38"/>
        <v>WO</v>
      </c>
      <c r="V24" s="18" t="s">
        <v>38</v>
      </c>
      <c r="W24" s="18" t="s">
        <v>38</v>
      </c>
      <c r="X24" s="18" t="s">
        <v>38</v>
      </c>
      <c r="Y24" s="18" t="s">
        <v>38</v>
      </c>
      <c r="Z24" s="18" t="s">
        <v>38</v>
      </c>
      <c r="AA24" s="18" t="s">
        <v>38</v>
      </c>
      <c r="AB24" s="18" t="str">
        <f t="shared" si="37"/>
        <v>WO</v>
      </c>
      <c r="AC24" s="18" t="s">
        <v>38</v>
      </c>
      <c r="AD24" s="18" t="s">
        <v>38</v>
      </c>
      <c r="AE24" s="18" t="s">
        <v>39</v>
      </c>
      <c r="AF24" s="18" t="s">
        <v>38</v>
      </c>
      <c r="AG24" s="18" t="s">
        <v>38</v>
      </c>
      <c r="AH24" s="18" t="s">
        <v>38</v>
      </c>
      <c r="AI24" s="18" t="str">
        <f t="shared" si="37"/>
        <v>WO</v>
      </c>
      <c r="AJ24" s="18" t="s">
        <v>38</v>
      </c>
      <c r="AK24" s="18" t="s">
        <v>38</v>
      </c>
      <c r="AL24" s="18" t="s">
        <v>38</v>
      </c>
      <c r="AM24" s="18" t="s">
        <v>38</v>
      </c>
      <c r="AN24" s="19" t="s">
        <v>38</v>
      </c>
      <c r="AO24" s="32"/>
      <c r="AP24" s="34"/>
      <c r="AQ24" s="9">
        <v>16</v>
      </c>
      <c r="AR24" s="9">
        <v>1016</v>
      </c>
      <c r="AS24" s="9" t="str">
        <f t="shared" si="29"/>
        <v>January</v>
      </c>
      <c r="AT24" s="15" t="s">
        <v>18</v>
      </c>
      <c r="AU24" s="28">
        <f t="shared" si="25"/>
        <v>23</v>
      </c>
      <c r="AV24">
        <f t="shared" si="26"/>
        <v>2</v>
      </c>
      <c r="AW24">
        <f t="shared" si="27"/>
        <v>2</v>
      </c>
      <c r="AX24">
        <f t="shared" si="30"/>
        <v>4</v>
      </c>
      <c r="AY24" s="29">
        <f t="shared" si="31"/>
        <v>31</v>
      </c>
      <c r="AZ24" s="29">
        <f t="shared" si="32"/>
        <v>29</v>
      </c>
      <c r="BA24" s="30">
        <f t="shared" ca="1" si="33"/>
        <v>12238</v>
      </c>
      <c r="BB24" s="30">
        <f t="shared" ca="1" si="34"/>
        <v>422</v>
      </c>
      <c r="BC24" s="30">
        <f t="shared" ca="1" si="35"/>
        <v>844</v>
      </c>
      <c r="BD24" s="30">
        <f t="shared" ca="1" si="36"/>
        <v>11394</v>
      </c>
      <c r="BF24" s="34"/>
      <c r="BG24" s="31"/>
      <c r="BH24" s="31"/>
      <c r="BI24" s="31"/>
      <c r="BJ24" s="31"/>
    </row>
    <row r="25" spans="1:62" x14ac:dyDescent="0.3">
      <c r="C25" s="31"/>
      <c r="D25" s="31"/>
      <c r="E25" s="32"/>
      <c r="F25" s="8">
        <v>17</v>
      </c>
      <c r="G25" s="9">
        <v>1017</v>
      </c>
      <c r="H25" s="15" t="s">
        <v>19</v>
      </c>
      <c r="I25" s="17">
        <f t="shared" si="28"/>
        <v>4</v>
      </c>
      <c r="J25" s="18" t="s">
        <v>39</v>
      </c>
      <c r="K25" s="18" t="s">
        <v>40</v>
      </c>
      <c r="L25" s="18" t="s">
        <v>38</v>
      </c>
      <c r="M25" s="18" t="s">
        <v>38</v>
      </c>
      <c r="N25" s="18" t="str">
        <f t="shared" si="38"/>
        <v>WO</v>
      </c>
      <c r="O25" s="18" t="s">
        <v>38</v>
      </c>
      <c r="P25" s="18" t="s">
        <v>38</v>
      </c>
      <c r="Q25" s="18" t="s">
        <v>38</v>
      </c>
      <c r="R25" s="18" t="s">
        <v>38</v>
      </c>
      <c r="S25" s="18" t="s">
        <v>40</v>
      </c>
      <c r="T25" s="18" t="s">
        <v>38</v>
      </c>
      <c r="U25" s="18" t="str">
        <f t="shared" si="38"/>
        <v>WO</v>
      </c>
      <c r="V25" s="18" t="s">
        <v>38</v>
      </c>
      <c r="W25" s="18" t="s">
        <v>38</v>
      </c>
      <c r="X25" s="18" t="s">
        <v>38</v>
      </c>
      <c r="Y25" s="18" t="s">
        <v>38</v>
      </c>
      <c r="Z25" s="18" t="s">
        <v>38</v>
      </c>
      <c r="AA25" s="18" t="s">
        <v>39</v>
      </c>
      <c r="AB25" s="18" t="str">
        <f t="shared" si="37"/>
        <v>WO</v>
      </c>
      <c r="AC25" s="18" t="s">
        <v>38</v>
      </c>
      <c r="AD25" s="18" t="s">
        <v>38</v>
      </c>
      <c r="AE25" s="18" t="s">
        <v>38</v>
      </c>
      <c r="AF25" s="18" t="s">
        <v>38</v>
      </c>
      <c r="AG25" s="18" t="s">
        <v>38</v>
      </c>
      <c r="AH25" s="18" t="s">
        <v>38</v>
      </c>
      <c r="AI25" s="18" t="str">
        <f t="shared" si="37"/>
        <v>WO</v>
      </c>
      <c r="AJ25" s="18" t="s">
        <v>38</v>
      </c>
      <c r="AK25" s="18" t="s">
        <v>38</v>
      </c>
      <c r="AL25" s="18" t="s">
        <v>38</v>
      </c>
      <c r="AM25" s="18" t="s">
        <v>38</v>
      </c>
      <c r="AN25" s="19" t="s">
        <v>38</v>
      </c>
      <c r="AO25" s="32"/>
      <c r="AP25" s="34"/>
      <c r="AQ25" s="9">
        <v>17</v>
      </c>
      <c r="AR25" s="9">
        <v>1017</v>
      </c>
      <c r="AS25" s="9" t="str">
        <f t="shared" si="29"/>
        <v>January</v>
      </c>
      <c r="AT25" s="15" t="s">
        <v>19</v>
      </c>
      <c r="AU25" s="28">
        <f t="shared" si="25"/>
        <v>23</v>
      </c>
      <c r="AV25">
        <f t="shared" si="26"/>
        <v>2</v>
      </c>
      <c r="AW25">
        <f t="shared" si="27"/>
        <v>2</v>
      </c>
      <c r="AX25">
        <f t="shared" si="30"/>
        <v>4</v>
      </c>
      <c r="AY25" s="29">
        <f t="shared" si="31"/>
        <v>31</v>
      </c>
      <c r="AZ25" s="29">
        <f t="shared" si="32"/>
        <v>29</v>
      </c>
      <c r="BA25" s="30">
        <f t="shared" ca="1" si="33"/>
        <v>25791</v>
      </c>
      <c r="BB25" s="30">
        <f t="shared" ca="1" si="34"/>
        <v>889.34482758620686</v>
      </c>
      <c r="BC25" s="30">
        <f t="shared" ca="1" si="35"/>
        <v>1778.6896551724137</v>
      </c>
      <c r="BD25" s="30">
        <f t="shared" ca="1" si="36"/>
        <v>24012.310344827587</v>
      </c>
      <c r="BF25" s="34"/>
      <c r="BG25" s="31"/>
      <c r="BH25" s="31"/>
      <c r="BI25" s="31"/>
      <c r="BJ25" s="31"/>
    </row>
    <row r="26" spans="1:62" x14ac:dyDescent="0.3">
      <c r="C26" s="31"/>
      <c r="D26" s="31"/>
      <c r="E26" s="32"/>
      <c r="F26" s="8">
        <v>18</v>
      </c>
      <c r="G26" s="9">
        <v>1018</v>
      </c>
      <c r="H26" s="15" t="s">
        <v>22</v>
      </c>
      <c r="I26" s="17">
        <f t="shared" si="28"/>
        <v>4</v>
      </c>
      <c r="J26" s="18" t="s">
        <v>38</v>
      </c>
      <c r="K26" s="18" t="s">
        <v>40</v>
      </c>
      <c r="L26" s="18" t="s">
        <v>38</v>
      </c>
      <c r="M26" s="18" t="s">
        <v>38</v>
      </c>
      <c r="N26" s="18" t="str">
        <f t="shared" si="38"/>
        <v>WO</v>
      </c>
      <c r="O26" s="18" t="s">
        <v>38</v>
      </c>
      <c r="P26" s="18" t="s">
        <v>38</v>
      </c>
      <c r="Q26" s="18" t="s">
        <v>38</v>
      </c>
      <c r="R26" s="18" t="s">
        <v>38</v>
      </c>
      <c r="S26" s="18" t="s">
        <v>40</v>
      </c>
      <c r="T26" s="18" t="s">
        <v>38</v>
      </c>
      <c r="U26" s="18" t="str">
        <f t="shared" si="38"/>
        <v>WO</v>
      </c>
      <c r="V26" s="18" t="s">
        <v>38</v>
      </c>
      <c r="W26" s="18" t="s">
        <v>38</v>
      </c>
      <c r="X26" s="18" t="s">
        <v>38</v>
      </c>
      <c r="Y26" s="18" t="s">
        <v>38</v>
      </c>
      <c r="Z26" s="18" t="s">
        <v>38</v>
      </c>
      <c r="AA26" s="18" t="s">
        <v>38</v>
      </c>
      <c r="AB26" s="18" t="str">
        <f t="shared" si="37"/>
        <v>WO</v>
      </c>
      <c r="AC26" s="18" t="s">
        <v>38</v>
      </c>
      <c r="AD26" s="18" t="s">
        <v>38</v>
      </c>
      <c r="AE26" s="18" t="s">
        <v>38</v>
      </c>
      <c r="AF26" s="18" t="s">
        <v>39</v>
      </c>
      <c r="AG26" s="18" t="s">
        <v>38</v>
      </c>
      <c r="AH26" s="18" t="s">
        <v>38</v>
      </c>
      <c r="AI26" s="18" t="str">
        <f t="shared" si="37"/>
        <v>WO</v>
      </c>
      <c r="AJ26" s="18" t="s">
        <v>38</v>
      </c>
      <c r="AK26" s="18" t="s">
        <v>38</v>
      </c>
      <c r="AL26" s="18" t="s">
        <v>38</v>
      </c>
      <c r="AM26" s="18" t="s">
        <v>38</v>
      </c>
      <c r="AN26" s="19" t="s">
        <v>38</v>
      </c>
      <c r="AO26" s="32"/>
      <c r="AP26" s="34"/>
      <c r="AQ26" s="9">
        <v>18</v>
      </c>
      <c r="AR26" s="9">
        <v>1018</v>
      </c>
      <c r="AS26" s="9" t="str">
        <f t="shared" si="29"/>
        <v>January</v>
      </c>
      <c r="AT26" s="15" t="s">
        <v>22</v>
      </c>
      <c r="AU26" s="28">
        <f t="shared" si="25"/>
        <v>24</v>
      </c>
      <c r="AV26">
        <f t="shared" si="26"/>
        <v>1</v>
      </c>
      <c r="AW26">
        <f t="shared" si="27"/>
        <v>2</v>
      </c>
      <c r="AX26">
        <f t="shared" si="30"/>
        <v>4</v>
      </c>
      <c r="AY26" s="29">
        <f t="shared" si="31"/>
        <v>31</v>
      </c>
      <c r="AZ26" s="29">
        <f t="shared" si="32"/>
        <v>30</v>
      </c>
      <c r="BA26" s="30">
        <f t="shared" ca="1" si="33"/>
        <v>17804</v>
      </c>
      <c r="BB26" s="30">
        <f t="shared" ca="1" si="34"/>
        <v>593.4666666666667</v>
      </c>
      <c r="BC26" s="30">
        <f t="shared" ca="1" si="35"/>
        <v>593.4666666666667</v>
      </c>
      <c r="BD26" s="30">
        <f t="shared" ca="1" si="36"/>
        <v>17210.533333333333</v>
      </c>
      <c r="BF26" s="34"/>
      <c r="BG26" s="31"/>
      <c r="BH26" s="31"/>
      <c r="BI26" s="31"/>
      <c r="BJ26" s="31"/>
    </row>
    <row r="27" spans="1:62" x14ac:dyDescent="0.3">
      <c r="C27" s="31"/>
      <c r="D27" s="31"/>
      <c r="E27" s="32"/>
      <c r="F27" s="8">
        <v>19</v>
      </c>
      <c r="G27" s="9">
        <v>1019</v>
      </c>
      <c r="H27" s="15" t="s">
        <v>20</v>
      </c>
      <c r="I27" s="17">
        <f t="shared" si="28"/>
        <v>4</v>
      </c>
      <c r="J27" s="18" t="s">
        <v>38</v>
      </c>
      <c r="K27" s="18" t="s">
        <v>39</v>
      </c>
      <c r="L27" s="18" t="s">
        <v>38</v>
      </c>
      <c r="M27" s="18" t="s">
        <v>38</v>
      </c>
      <c r="N27" s="18" t="str">
        <f t="shared" si="38"/>
        <v>WO</v>
      </c>
      <c r="O27" s="18" t="s">
        <v>38</v>
      </c>
      <c r="P27" s="18" t="s">
        <v>38</v>
      </c>
      <c r="Q27" s="18" t="s">
        <v>38</v>
      </c>
      <c r="R27" s="18" t="s">
        <v>38</v>
      </c>
      <c r="S27" s="18" t="s">
        <v>40</v>
      </c>
      <c r="T27" s="18" t="s">
        <v>38</v>
      </c>
      <c r="U27" s="18" t="str">
        <f t="shared" si="38"/>
        <v>WO</v>
      </c>
      <c r="V27" s="18" t="s">
        <v>38</v>
      </c>
      <c r="W27" s="18" t="s">
        <v>38</v>
      </c>
      <c r="X27" s="18" t="s">
        <v>39</v>
      </c>
      <c r="Y27" s="18" t="s">
        <v>38</v>
      </c>
      <c r="Z27" s="18" t="s">
        <v>38</v>
      </c>
      <c r="AA27" s="18" t="s">
        <v>38</v>
      </c>
      <c r="AB27" s="18" t="str">
        <f t="shared" si="37"/>
        <v>WO</v>
      </c>
      <c r="AC27" s="18" t="s">
        <v>38</v>
      </c>
      <c r="AD27" s="18" t="s">
        <v>38</v>
      </c>
      <c r="AE27" s="18" t="s">
        <v>38</v>
      </c>
      <c r="AF27" s="18" t="s">
        <v>38</v>
      </c>
      <c r="AG27" s="18" t="s">
        <v>38</v>
      </c>
      <c r="AH27" s="18" t="s">
        <v>38</v>
      </c>
      <c r="AI27" s="18" t="str">
        <f t="shared" si="37"/>
        <v>WO</v>
      </c>
      <c r="AJ27" s="18" t="s">
        <v>38</v>
      </c>
      <c r="AK27" s="18" t="s">
        <v>38</v>
      </c>
      <c r="AL27" s="18" t="s">
        <v>38</v>
      </c>
      <c r="AM27" s="18" t="s">
        <v>38</v>
      </c>
      <c r="AN27" s="19" t="s">
        <v>38</v>
      </c>
      <c r="AO27" s="32"/>
      <c r="AP27" s="34"/>
      <c r="AQ27" s="9">
        <v>19</v>
      </c>
      <c r="AR27" s="9">
        <v>1019</v>
      </c>
      <c r="AS27" s="9" t="str">
        <f t="shared" si="29"/>
        <v>January</v>
      </c>
      <c r="AT27" s="15" t="s">
        <v>20</v>
      </c>
      <c r="AU27" s="28">
        <f t="shared" si="25"/>
        <v>24</v>
      </c>
      <c r="AV27">
        <f t="shared" si="26"/>
        <v>2</v>
      </c>
      <c r="AW27">
        <f t="shared" si="27"/>
        <v>1</v>
      </c>
      <c r="AX27">
        <f t="shared" si="30"/>
        <v>4</v>
      </c>
      <c r="AY27" s="29">
        <f t="shared" si="31"/>
        <v>31</v>
      </c>
      <c r="AZ27" s="29">
        <f t="shared" si="32"/>
        <v>29</v>
      </c>
      <c r="BA27" s="30">
        <f t="shared" ca="1" si="33"/>
        <v>40708</v>
      </c>
      <c r="BB27" s="30">
        <f t="shared" ca="1" si="34"/>
        <v>1403.7241379310344</v>
      </c>
      <c r="BC27" s="30">
        <f t="shared" ca="1" si="35"/>
        <v>2807.4482758620688</v>
      </c>
      <c r="BD27" s="30">
        <f t="shared" ca="1" si="36"/>
        <v>37900.551724137928</v>
      </c>
      <c r="BF27" s="34"/>
      <c r="BG27" s="31"/>
      <c r="BH27" s="31"/>
      <c r="BI27" s="31"/>
      <c r="BJ27" s="31"/>
    </row>
    <row r="28" spans="1:62" ht="15" thickBot="1" x14ac:dyDescent="0.35">
      <c r="C28" s="31"/>
      <c r="D28" s="31"/>
      <c r="E28" s="32"/>
      <c r="F28" s="10">
        <v>20</v>
      </c>
      <c r="G28" s="11">
        <v>1020</v>
      </c>
      <c r="H28" s="16" t="s">
        <v>21</v>
      </c>
      <c r="I28" s="20">
        <f t="shared" si="28"/>
        <v>4</v>
      </c>
      <c r="J28" s="21" t="s">
        <v>38</v>
      </c>
      <c r="K28" s="21" t="s">
        <v>38</v>
      </c>
      <c r="L28" s="21" t="s">
        <v>38</v>
      </c>
      <c r="M28" s="21" t="s">
        <v>39</v>
      </c>
      <c r="N28" s="21" t="str">
        <f t="shared" si="38"/>
        <v>WO</v>
      </c>
      <c r="O28" s="21" t="s">
        <v>38</v>
      </c>
      <c r="P28" s="21" t="s">
        <v>38</v>
      </c>
      <c r="Q28" s="21" t="s">
        <v>38</v>
      </c>
      <c r="R28" s="21" t="s">
        <v>38</v>
      </c>
      <c r="S28" s="21" t="s">
        <v>40</v>
      </c>
      <c r="T28" s="21" t="s">
        <v>38</v>
      </c>
      <c r="U28" s="21" t="str">
        <f t="shared" si="38"/>
        <v>WO</v>
      </c>
      <c r="V28" s="21" t="s">
        <v>38</v>
      </c>
      <c r="W28" s="21" t="s">
        <v>38</v>
      </c>
      <c r="X28" s="21" t="s">
        <v>38</v>
      </c>
      <c r="Y28" s="21" t="s">
        <v>39</v>
      </c>
      <c r="Z28" s="21" t="s">
        <v>38</v>
      </c>
      <c r="AA28" s="21" t="s">
        <v>38</v>
      </c>
      <c r="AB28" s="21" t="str">
        <f t="shared" si="37"/>
        <v>WO</v>
      </c>
      <c r="AC28" s="21" t="s">
        <v>38</v>
      </c>
      <c r="AD28" s="21" t="s">
        <v>38</v>
      </c>
      <c r="AE28" s="21" t="s">
        <v>38</v>
      </c>
      <c r="AF28" s="21" t="s">
        <v>39</v>
      </c>
      <c r="AG28" s="21" t="s">
        <v>38</v>
      </c>
      <c r="AH28" s="21" t="s">
        <v>38</v>
      </c>
      <c r="AI28" s="21" t="str">
        <f t="shared" si="37"/>
        <v>WO</v>
      </c>
      <c r="AJ28" s="21" t="s">
        <v>38</v>
      </c>
      <c r="AK28" s="21" t="s">
        <v>38</v>
      </c>
      <c r="AL28" s="21" t="s">
        <v>38</v>
      </c>
      <c r="AM28" s="21" t="s">
        <v>38</v>
      </c>
      <c r="AN28" s="22" t="s">
        <v>38</v>
      </c>
      <c r="AO28" s="32"/>
      <c r="AP28" s="34"/>
      <c r="AQ28" s="9">
        <v>20</v>
      </c>
      <c r="AR28" s="9">
        <v>1020</v>
      </c>
      <c r="AS28" s="9" t="str">
        <f t="shared" si="29"/>
        <v>January</v>
      </c>
      <c r="AT28" s="15" t="s">
        <v>21</v>
      </c>
      <c r="AU28" s="28">
        <f t="shared" si="25"/>
        <v>23</v>
      </c>
      <c r="AV28">
        <f t="shared" si="26"/>
        <v>3</v>
      </c>
      <c r="AW28">
        <f t="shared" si="27"/>
        <v>1</v>
      </c>
      <c r="AX28">
        <f t="shared" si="30"/>
        <v>4</v>
      </c>
      <c r="AY28" s="29">
        <f t="shared" si="31"/>
        <v>31</v>
      </c>
      <c r="AZ28" s="29">
        <f t="shared" si="32"/>
        <v>28</v>
      </c>
      <c r="BA28" s="30">
        <f t="shared" ca="1" si="33"/>
        <v>46335</v>
      </c>
      <c r="BB28" s="30">
        <f t="shared" ca="1" si="34"/>
        <v>1654.8214285714287</v>
      </c>
      <c r="BC28" s="30">
        <f t="shared" ca="1" si="35"/>
        <v>4964.4642857142862</v>
      </c>
      <c r="BD28" s="30">
        <f t="shared" ca="1" si="36"/>
        <v>41370.53571428571</v>
      </c>
      <c r="BF28" s="34"/>
      <c r="BG28" s="31"/>
      <c r="BH28" s="31"/>
      <c r="BI28" s="31"/>
      <c r="BJ28" s="31"/>
    </row>
    <row r="29" spans="1:62" x14ac:dyDescent="0.3">
      <c r="A29" s="31"/>
      <c r="B29" s="31"/>
      <c r="C29" s="31"/>
      <c r="D29" s="31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1"/>
      <c r="BH29" s="31"/>
      <c r="BI29" s="31"/>
      <c r="BJ29" s="31"/>
    </row>
    <row r="30" spans="1:62" x14ac:dyDescent="0.3">
      <c r="A30" s="31"/>
      <c r="B30" s="31"/>
      <c r="C30" s="31"/>
      <c r="D30" s="31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1"/>
      <c r="BH30" s="31"/>
      <c r="BI30" s="31"/>
      <c r="BJ30" s="31"/>
    </row>
    <row r="31" spans="1:62" x14ac:dyDescent="0.3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</row>
    <row r="32" spans="1:62" x14ac:dyDescent="0.3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</row>
    <row r="33" spans="1:62" x14ac:dyDescent="0.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</row>
    <row r="34" spans="1:62" x14ac:dyDescent="0.3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</row>
    <row r="35" spans="1:62" x14ac:dyDescent="0.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</row>
    <row r="36" spans="1:62" x14ac:dyDescent="0.3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</row>
    <row r="37" spans="1:62" x14ac:dyDescent="0.3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</row>
    <row r="38" spans="1:62" x14ac:dyDescent="0.3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</row>
    <row r="39" spans="1:62" x14ac:dyDescent="0.3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</row>
    <row r="40" spans="1:62" x14ac:dyDescent="0.3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</row>
    <row r="41" spans="1:62" x14ac:dyDescent="0.3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</row>
    <row r="42" spans="1:62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</row>
    <row r="43" spans="1:62" x14ac:dyDescent="0.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</row>
    <row r="44" spans="1:62" x14ac:dyDescent="0.3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</row>
    <row r="45" spans="1:62" x14ac:dyDescent="0.3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</row>
    <row r="46" spans="1:62" x14ac:dyDescent="0.3">
      <c r="AO46" s="31"/>
      <c r="AP46" s="31"/>
      <c r="BF46" s="31"/>
      <c r="BG46" s="31"/>
      <c r="BH46" s="31"/>
      <c r="BI46" s="31"/>
      <c r="BJ46" s="31"/>
    </row>
    <row r="47" spans="1:62" x14ac:dyDescent="0.3">
      <c r="AO47" s="31"/>
      <c r="AP47" s="31"/>
      <c r="BF47" s="31"/>
      <c r="BG47" s="31"/>
      <c r="BH47" s="31"/>
      <c r="BI47" s="31"/>
      <c r="BJ47" s="31"/>
    </row>
    <row r="48" spans="1:62" x14ac:dyDescent="0.3">
      <c r="AO48" s="31"/>
      <c r="AP48" s="31"/>
      <c r="BF48" s="31"/>
      <c r="BG48" s="31"/>
      <c r="BH48" s="31"/>
      <c r="BI48" s="31"/>
      <c r="BJ48" s="31"/>
    </row>
    <row r="49" spans="41:62" x14ac:dyDescent="0.3">
      <c r="AO49" s="31"/>
      <c r="AP49" s="31"/>
      <c r="BF49" s="31"/>
      <c r="BG49" s="31"/>
      <c r="BH49" s="31"/>
      <c r="BI49" s="31"/>
      <c r="BJ49" s="31"/>
    </row>
  </sheetData>
  <conditionalFormatting sqref="J9:AN28">
    <cfRule type="containsText" dxfId="374" priority="18" operator="containsText" text="L">
      <formula>NOT(ISERROR(SEARCH("L",J9)))</formula>
    </cfRule>
    <cfRule type="containsText" dxfId="373" priority="19" operator="containsText" text="A">
      <formula>NOT(ISERROR(SEARCH("A",J9)))</formula>
    </cfRule>
    <cfRule type="containsText" dxfId="372" priority="20" operator="containsText" text="P">
      <formula>NOT(ISERROR(SEARCH("P",J9)))</formula>
    </cfRule>
    <cfRule type="containsText" dxfId="371" priority="27" operator="containsText" text="WO">
      <formula>NOT(ISERROR(SEARCH("WO",J9)))</formula>
    </cfRule>
  </conditionalFormatting>
  <conditionalFormatting sqref="O9:O28">
    <cfRule type="containsText" dxfId="370" priority="11" operator="containsText" text="A">
      <formula>NOT(ISERROR(SEARCH("A",O9)))</formula>
    </cfRule>
    <cfRule type="containsText" dxfId="369" priority="13" operator="containsText" text="A">
      <formula>NOT(ISERROR(SEARCH("A",O9)))</formula>
    </cfRule>
  </conditionalFormatting>
  <conditionalFormatting sqref="O9:R28">
    <cfRule type="containsText" dxfId="368" priority="12" operator="containsText" text="P">
      <formula>NOT(ISERROR(SEARCH("P",O9)))</formula>
    </cfRule>
  </conditionalFormatting>
  <conditionalFormatting sqref="S9:T28">
    <cfRule type="containsText" dxfId="367" priority="10" operator="containsText" text="L">
      <formula>NOT(ISERROR(SEARCH("L",S9)))</formula>
    </cfRule>
  </conditionalFormatting>
  <conditionalFormatting sqref="V9:V28">
    <cfRule type="containsText" dxfId="366" priority="8" operator="containsText" text="A">
      <formula>NOT(ISERROR(SEARCH("A",V9)))</formula>
    </cfRule>
  </conditionalFormatting>
  <conditionalFormatting sqref="V9:Y28">
    <cfRule type="containsText" dxfId="365" priority="9" operator="containsText" text="P">
      <formula>NOT(ISERROR(SEARCH("P",V9)))</formula>
    </cfRule>
  </conditionalFormatting>
  <conditionalFormatting sqref="AC9:AC28">
    <cfRule type="containsText" dxfId="364" priority="6" operator="containsText" text="A">
      <formula>NOT(ISERROR(SEARCH("A",AC9)))</formula>
    </cfRule>
  </conditionalFormatting>
  <conditionalFormatting sqref="AC9:AF28">
    <cfRule type="containsText" dxfId="363" priority="7" operator="containsText" text="P">
      <formula>NOT(ISERROR(SEARCH("P",AC9)))</formula>
    </cfRule>
  </conditionalFormatting>
  <conditionalFormatting sqref="AJ9:AJ28">
    <cfRule type="containsText" dxfId="362" priority="4" operator="containsText" text="A">
      <formula>NOT(ISERROR(SEARCH("A",AJ9)))</formula>
    </cfRule>
  </conditionalFormatting>
  <conditionalFormatting sqref="AJ9:AM28">
    <cfRule type="containsText" dxfId="361" priority="5" operator="containsText" text="P">
      <formula>NOT(ISERROR(SEARCH("P",AJ9)))</formula>
    </cfRule>
  </conditionalFormatting>
  <dataValidations count="1">
    <dataValidation type="list" allowBlank="1" showInputMessage="1" showErrorMessage="1" sqref="F7:I28 J7:AN8 O9:T28 AJ9:AN28 V9:AA28 AC9:AH28 J9:M28" xr:uid="{4EA0A344-1490-4B86-8ACF-8CE08B14AC4E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F2A3660-AE74-4DD0-A540-62757380E79D}">
          <x14:formula1>
            <xm:f>Rough!$A$1:$A$12</xm:f>
          </x14:formula1>
          <xm:sqref>G5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80C5DC54-2DEF-4D19-949E-C30CB47AB0A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January!AU9:AX9</xm:f>
              <xm:sqref>BE9</xm:sqref>
            </x14:sparkline>
            <x14:sparkline>
              <xm:f>January!AU10:AX10</xm:f>
              <xm:sqref>BE10</xm:sqref>
            </x14:sparkline>
            <x14:sparkline>
              <xm:f>January!AU11:AX11</xm:f>
              <xm:sqref>BE11</xm:sqref>
            </x14:sparkline>
            <x14:sparkline>
              <xm:f>January!AU12:AX12</xm:f>
              <xm:sqref>BE12</xm:sqref>
            </x14:sparkline>
            <x14:sparkline>
              <xm:f>January!AU13:AX13</xm:f>
              <xm:sqref>BE13</xm:sqref>
            </x14:sparkline>
            <x14:sparkline>
              <xm:f>January!AU14:AX14</xm:f>
              <xm:sqref>BE14</xm:sqref>
            </x14:sparkline>
            <x14:sparkline>
              <xm:f>January!AU15:AX15</xm:f>
              <xm:sqref>BE15</xm:sqref>
            </x14:sparkline>
            <x14:sparkline>
              <xm:f>January!AU16:AX16</xm:f>
              <xm:sqref>BE16</xm:sqref>
            </x14:sparkline>
            <x14:sparkline>
              <xm:f>January!AU17:AX17</xm:f>
              <xm:sqref>BE17</xm:sqref>
            </x14:sparkline>
            <x14:sparkline>
              <xm:f>January!AU18:AX18</xm:f>
              <xm:sqref>BE18</xm:sqref>
            </x14:sparkline>
            <x14:sparkline>
              <xm:f>January!AU19:AX19</xm:f>
              <xm:sqref>BE19</xm:sqref>
            </x14:sparkline>
            <x14:sparkline>
              <xm:f>January!AU20:AX20</xm:f>
              <xm:sqref>BE20</xm:sqref>
            </x14:sparkline>
            <x14:sparkline>
              <xm:f>January!AU21:AX21</xm:f>
              <xm:sqref>BE21</xm:sqref>
            </x14:sparkline>
            <x14:sparkline>
              <xm:f>January!AU22:AX22</xm:f>
              <xm:sqref>BE22</xm:sqref>
            </x14:sparkline>
            <x14:sparkline>
              <xm:f>January!AU23:AX23</xm:f>
              <xm:sqref>BE23</xm:sqref>
            </x14:sparkline>
            <x14:sparkline>
              <xm:f>January!AU24:AX24</xm:f>
              <xm:sqref>BE24</xm:sqref>
            </x14:sparkline>
            <x14:sparkline>
              <xm:f>January!AU25:AX25</xm:f>
              <xm:sqref>BE25</xm:sqref>
            </x14:sparkline>
            <x14:sparkline>
              <xm:f>January!AU26:AX26</xm:f>
              <xm:sqref>BE26</xm:sqref>
            </x14:sparkline>
            <x14:sparkline>
              <xm:f>January!AU27:AX27</xm:f>
              <xm:sqref>BE27</xm:sqref>
            </x14:sparkline>
            <x14:sparkline>
              <xm:f>January!AU28:AX28</xm:f>
              <xm:sqref>BE28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758ED-1CC8-4843-BC6A-38C930CDC7EB}">
  <dimension ref="A1:BJ49"/>
  <sheetViews>
    <sheetView workbookViewId="0"/>
  </sheetViews>
  <sheetFormatPr defaultRowHeight="14.4" x14ac:dyDescent="0.3"/>
  <cols>
    <col min="6" max="6" width="6.33203125" bestFit="1" customWidth="1"/>
    <col min="7" max="7" width="14.33203125" bestFit="1" customWidth="1"/>
    <col min="8" max="8" width="18.77734375" bestFit="1" customWidth="1"/>
    <col min="9" max="9" width="10.5546875" bestFit="1" customWidth="1"/>
    <col min="10" max="10" width="5.5546875" customWidth="1"/>
    <col min="11" max="11" width="4" bestFit="1" customWidth="1"/>
    <col min="12" max="12" width="3.88671875" customWidth="1"/>
    <col min="13" max="13" width="3.5546875" bestFit="1" customWidth="1"/>
    <col min="14" max="14" width="3.88671875" bestFit="1" customWidth="1"/>
    <col min="15" max="15" width="4.77734375" bestFit="1" customWidth="1"/>
    <col min="16" max="16" width="4" bestFit="1" customWidth="1"/>
    <col min="17" max="17" width="4.77734375" bestFit="1" customWidth="1"/>
    <col min="18" max="18" width="4" bestFit="1" customWidth="1"/>
    <col min="19" max="19" width="3.44140625" customWidth="1"/>
    <col min="20" max="20" width="3.5546875" bestFit="1" customWidth="1"/>
    <col min="21" max="21" width="3.88671875" bestFit="1" customWidth="1"/>
    <col min="22" max="22" width="4.77734375" bestFit="1" customWidth="1"/>
    <col min="23" max="23" width="4" bestFit="1" customWidth="1"/>
    <col min="24" max="24" width="4.77734375" bestFit="1" customWidth="1"/>
    <col min="25" max="25" width="4" bestFit="1" customWidth="1"/>
    <col min="26" max="26" width="3.44140625" customWidth="1"/>
    <col min="27" max="27" width="3.5546875" bestFit="1" customWidth="1"/>
    <col min="28" max="28" width="3.88671875" bestFit="1" customWidth="1"/>
    <col min="29" max="29" width="4.77734375" bestFit="1" customWidth="1"/>
    <col min="30" max="30" width="4" bestFit="1" customWidth="1"/>
    <col min="31" max="31" width="4.77734375" bestFit="1" customWidth="1"/>
    <col min="32" max="32" width="4" bestFit="1" customWidth="1"/>
    <col min="33" max="33" width="4" customWidth="1"/>
    <col min="34" max="34" width="3.5546875" bestFit="1" customWidth="1"/>
    <col min="35" max="35" width="3.88671875" bestFit="1" customWidth="1"/>
    <col min="36" max="36" width="4.77734375" bestFit="1" customWidth="1"/>
    <col min="37" max="37" width="4" bestFit="1" customWidth="1"/>
    <col min="38" max="38" width="4.77734375" bestFit="1" customWidth="1"/>
    <col min="39" max="39" width="4" bestFit="1" customWidth="1"/>
    <col min="40" max="40" width="3.44140625" customWidth="1"/>
    <col min="44" max="44" width="16" customWidth="1"/>
    <col min="45" max="45" width="13.6640625" customWidth="1"/>
    <col min="46" max="46" width="20.33203125" customWidth="1"/>
    <col min="47" max="47" width="11" customWidth="1"/>
    <col min="48" max="48" width="10.33203125" customWidth="1"/>
    <col min="49" max="49" width="9.109375" customWidth="1"/>
    <col min="50" max="50" width="13" customWidth="1"/>
    <col min="51" max="51" width="8" customWidth="1"/>
    <col min="52" max="52" width="13.6640625" customWidth="1"/>
    <col min="53" max="53" width="11.5546875" bestFit="1" customWidth="1"/>
    <col min="54" max="54" width="17.77734375" customWidth="1"/>
    <col min="55" max="55" width="13.88671875" customWidth="1"/>
    <col min="56" max="56" width="15.21875" customWidth="1"/>
    <col min="57" max="57" width="12.77734375" customWidth="1"/>
  </cols>
  <sheetData>
    <row r="1" spans="1:62" x14ac:dyDescent="0.3">
      <c r="AP1" s="31"/>
      <c r="BF1" s="31"/>
      <c r="BG1" s="31"/>
      <c r="BH1" s="31"/>
      <c r="BI1" s="31"/>
      <c r="BJ1" s="31"/>
    </row>
    <row r="2" spans="1:62" x14ac:dyDescent="0.3">
      <c r="AP2" s="31"/>
      <c r="BF2" s="31"/>
      <c r="BG2" s="31"/>
      <c r="BH2" s="31"/>
      <c r="BI2" s="31"/>
      <c r="BJ2" s="31"/>
    </row>
    <row r="3" spans="1:62" x14ac:dyDescent="0.3">
      <c r="AP3" s="31"/>
      <c r="BF3" s="31"/>
      <c r="BG3" s="31"/>
      <c r="BH3" s="31"/>
      <c r="BI3" s="31"/>
      <c r="BJ3" s="31"/>
    </row>
    <row r="4" spans="1:62" x14ac:dyDescent="0.3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</row>
    <row r="5" spans="1:62" x14ac:dyDescent="0.3">
      <c r="A5" s="31"/>
      <c r="B5" s="31"/>
      <c r="C5" s="31"/>
      <c r="D5" s="31"/>
      <c r="E5" s="35" t="str">
        <f>TEXT(G5,"mmmm")</f>
        <v>February</v>
      </c>
      <c r="F5" s="35" t="s">
        <v>26</v>
      </c>
      <c r="G5" s="36">
        <v>45689</v>
      </c>
      <c r="H5" s="37">
        <f>(DATEDIF($G$5,$J$5,"D"))+1</f>
        <v>28</v>
      </c>
      <c r="I5" s="35" t="s">
        <v>27</v>
      </c>
      <c r="J5" s="36">
        <f>EOMONTH(G5,0)</f>
        <v>45716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</row>
    <row r="6" spans="1:62" ht="15" thickBot="1" x14ac:dyDescent="0.35">
      <c r="A6" s="31"/>
      <c r="B6" s="31"/>
      <c r="C6" s="31"/>
      <c r="D6" s="31"/>
      <c r="E6" s="32"/>
      <c r="F6" s="32"/>
      <c r="G6" s="32"/>
      <c r="H6" s="32"/>
      <c r="I6" s="32"/>
      <c r="J6" s="33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1"/>
      <c r="BH6" s="31"/>
      <c r="BI6" s="31"/>
      <c r="BJ6" s="31"/>
    </row>
    <row r="7" spans="1:62" ht="15" thickBot="1" x14ac:dyDescent="0.35">
      <c r="C7" s="31"/>
      <c r="D7" s="31"/>
      <c r="E7" s="32"/>
      <c r="F7" s="5"/>
      <c r="G7" s="6" t="s">
        <v>29</v>
      </c>
      <c r="H7" s="7"/>
      <c r="I7" s="5" t="s">
        <v>28</v>
      </c>
      <c r="J7" s="23" t="str">
        <f>TEXT(J8,"DDD")</f>
        <v>Sat</v>
      </c>
      <c r="K7" s="23" t="str">
        <f>TEXT(K8,"DDD")</f>
        <v>Sun</v>
      </c>
      <c r="L7" s="23" t="str">
        <f t="shared" ref="L7:AI7" si="0">TEXT(L8,"DDD")</f>
        <v>Mon</v>
      </c>
      <c r="M7" s="23" t="str">
        <f t="shared" si="0"/>
        <v>Tue</v>
      </c>
      <c r="N7" s="23" t="str">
        <f t="shared" si="0"/>
        <v>Wed</v>
      </c>
      <c r="O7" s="23" t="str">
        <f t="shared" si="0"/>
        <v>Thu</v>
      </c>
      <c r="P7" s="23" t="str">
        <f t="shared" si="0"/>
        <v>Fri</v>
      </c>
      <c r="Q7" s="23" t="str">
        <f t="shared" si="0"/>
        <v>Sat</v>
      </c>
      <c r="R7" s="23" t="str">
        <f t="shared" si="0"/>
        <v>Sun</v>
      </c>
      <c r="S7" s="23" t="str">
        <f t="shared" si="0"/>
        <v>Mon</v>
      </c>
      <c r="T7" s="23" t="str">
        <f t="shared" si="0"/>
        <v>Tue</v>
      </c>
      <c r="U7" s="23" t="str">
        <f t="shared" si="0"/>
        <v>Wed</v>
      </c>
      <c r="V7" s="23" t="str">
        <f t="shared" si="0"/>
        <v>Thu</v>
      </c>
      <c r="W7" s="23" t="str">
        <f t="shared" si="0"/>
        <v>Fri</v>
      </c>
      <c r="X7" s="23" t="str">
        <f t="shared" si="0"/>
        <v>Sat</v>
      </c>
      <c r="Y7" s="23" t="str">
        <f t="shared" si="0"/>
        <v>Sun</v>
      </c>
      <c r="Z7" s="23" t="str">
        <f t="shared" si="0"/>
        <v>Mon</v>
      </c>
      <c r="AA7" s="23" t="str">
        <f t="shared" si="0"/>
        <v>Tue</v>
      </c>
      <c r="AB7" s="23" t="str">
        <f t="shared" si="0"/>
        <v>Wed</v>
      </c>
      <c r="AC7" s="23" t="str">
        <f t="shared" si="0"/>
        <v>Thu</v>
      </c>
      <c r="AD7" s="23" t="str">
        <f t="shared" si="0"/>
        <v>Fri</v>
      </c>
      <c r="AE7" s="23" t="str">
        <f t="shared" si="0"/>
        <v>Sat</v>
      </c>
      <c r="AF7" s="23" t="str">
        <f t="shared" si="0"/>
        <v>Sun</v>
      </c>
      <c r="AG7" s="23" t="str">
        <f t="shared" si="0"/>
        <v>Mon</v>
      </c>
      <c r="AH7" s="23" t="str">
        <f t="shared" si="0"/>
        <v>Tue</v>
      </c>
      <c r="AI7" s="23" t="str">
        <f t="shared" si="0"/>
        <v>Wed</v>
      </c>
      <c r="AJ7" s="23" t="str">
        <f>TEXT(AJ8,"DDD")</f>
        <v>Thu</v>
      </c>
      <c r="AK7" s="23" t="str">
        <f>TEXT(AK8,"DDD")</f>
        <v>Fri</v>
      </c>
      <c r="AL7" s="23" t="str">
        <f t="shared" ref="AL7:AN7" si="1">TEXT(AL8,"DDD")</f>
        <v/>
      </c>
      <c r="AM7" s="23" t="str">
        <f t="shared" si="1"/>
        <v/>
      </c>
      <c r="AN7" s="24" t="str">
        <f t="shared" si="1"/>
        <v/>
      </c>
      <c r="AO7" s="32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1"/>
      <c r="BH7" s="31"/>
      <c r="BI7" s="31"/>
      <c r="BJ7" s="31"/>
    </row>
    <row r="8" spans="1:62" ht="18.600000000000001" thickBot="1" x14ac:dyDescent="0.4">
      <c r="C8" s="31"/>
      <c r="D8" s="31"/>
      <c r="E8" s="32"/>
      <c r="F8" s="12" t="s">
        <v>23</v>
      </c>
      <c r="G8" s="13" t="s">
        <v>2</v>
      </c>
      <c r="H8" s="14" t="s">
        <v>24</v>
      </c>
      <c r="I8" s="25" t="s">
        <v>25</v>
      </c>
      <c r="J8" s="26">
        <f>G5</f>
        <v>45689</v>
      </c>
      <c r="K8" s="26">
        <f>IF(J8&lt;$J$5,J8+1,"")</f>
        <v>45690</v>
      </c>
      <c r="L8" s="26">
        <f t="shared" ref="L8:AN8" si="2">IF(K8&lt;$J$5,K8+1,"")</f>
        <v>45691</v>
      </c>
      <c r="M8" s="26">
        <f t="shared" si="2"/>
        <v>45692</v>
      </c>
      <c r="N8" s="26">
        <f t="shared" si="2"/>
        <v>45693</v>
      </c>
      <c r="O8" s="26">
        <f t="shared" si="2"/>
        <v>45694</v>
      </c>
      <c r="P8" s="26">
        <f t="shared" si="2"/>
        <v>45695</v>
      </c>
      <c r="Q8" s="26">
        <f t="shared" si="2"/>
        <v>45696</v>
      </c>
      <c r="R8" s="26">
        <f t="shared" si="2"/>
        <v>45697</v>
      </c>
      <c r="S8" s="26">
        <f t="shared" si="2"/>
        <v>45698</v>
      </c>
      <c r="T8" s="26">
        <f t="shared" si="2"/>
        <v>45699</v>
      </c>
      <c r="U8" s="26">
        <f t="shared" si="2"/>
        <v>45700</v>
      </c>
      <c r="V8" s="26">
        <f t="shared" si="2"/>
        <v>45701</v>
      </c>
      <c r="W8" s="26">
        <f t="shared" si="2"/>
        <v>45702</v>
      </c>
      <c r="X8" s="26">
        <f t="shared" si="2"/>
        <v>45703</v>
      </c>
      <c r="Y8" s="26">
        <f t="shared" si="2"/>
        <v>45704</v>
      </c>
      <c r="Z8" s="26">
        <f t="shared" si="2"/>
        <v>45705</v>
      </c>
      <c r="AA8" s="26">
        <f t="shared" si="2"/>
        <v>45706</v>
      </c>
      <c r="AB8" s="26">
        <f t="shared" si="2"/>
        <v>45707</v>
      </c>
      <c r="AC8" s="26">
        <f t="shared" si="2"/>
        <v>45708</v>
      </c>
      <c r="AD8" s="26">
        <f t="shared" si="2"/>
        <v>45709</v>
      </c>
      <c r="AE8" s="26">
        <f t="shared" si="2"/>
        <v>45710</v>
      </c>
      <c r="AF8" s="26">
        <f t="shared" si="2"/>
        <v>45711</v>
      </c>
      <c r="AG8" s="26">
        <f t="shared" si="2"/>
        <v>45712</v>
      </c>
      <c r="AH8" s="26">
        <f t="shared" si="2"/>
        <v>45713</v>
      </c>
      <c r="AI8" s="26">
        <f t="shared" si="2"/>
        <v>45714</v>
      </c>
      <c r="AJ8" s="26">
        <f t="shared" si="2"/>
        <v>45715</v>
      </c>
      <c r="AK8" s="26">
        <f t="shared" si="2"/>
        <v>45716</v>
      </c>
      <c r="AL8" s="26" t="str">
        <f t="shared" si="2"/>
        <v/>
      </c>
      <c r="AM8" s="26" t="str">
        <f t="shared" si="2"/>
        <v/>
      </c>
      <c r="AN8" s="27" t="str">
        <f t="shared" si="2"/>
        <v/>
      </c>
      <c r="AO8" s="32"/>
      <c r="AP8" s="34"/>
      <c r="AQ8" s="38" t="s">
        <v>23</v>
      </c>
      <c r="AR8" s="38" t="s">
        <v>2</v>
      </c>
      <c r="AS8" s="38" t="s">
        <v>42</v>
      </c>
      <c r="AT8" s="39" t="s">
        <v>24</v>
      </c>
      <c r="AU8" s="40" t="s">
        <v>30</v>
      </c>
      <c r="AV8" s="38" t="s">
        <v>31</v>
      </c>
      <c r="AW8" s="38" t="s">
        <v>32</v>
      </c>
      <c r="AX8" s="38" t="s">
        <v>25</v>
      </c>
      <c r="AY8" s="38" t="s">
        <v>28</v>
      </c>
      <c r="AZ8" s="38" t="s">
        <v>33</v>
      </c>
      <c r="BA8" s="38" t="s">
        <v>34</v>
      </c>
      <c r="BB8" s="38" t="s">
        <v>35</v>
      </c>
      <c r="BC8" s="40" t="s">
        <v>36</v>
      </c>
      <c r="BD8" s="38" t="s">
        <v>37</v>
      </c>
      <c r="BE8" s="38" t="s">
        <v>41</v>
      </c>
      <c r="BF8" s="34"/>
      <c r="BG8" s="31"/>
      <c r="BH8" s="31"/>
      <c r="BI8" s="31"/>
      <c r="BJ8" s="31"/>
    </row>
    <row r="9" spans="1:62" x14ac:dyDescent="0.3">
      <c r="C9" s="31"/>
      <c r="D9" s="31"/>
      <c r="E9" s="32"/>
      <c r="F9" s="8">
        <v>1</v>
      </c>
      <c r="G9" s="9">
        <v>1001</v>
      </c>
      <c r="H9" s="15" t="s">
        <v>3</v>
      </c>
      <c r="I9" s="17">
        <f>COUNTIF($J$7:$AN$7,"Sun")</f>
        <v>4</v>
      </c>
      <c r="J9" s="18" t="s">
        <v>40</v>
      </c>
      <c r="K9" s="18" t="str">
        <f t="shared" ref="K9:AN17" si="3">IF(K$7="Sun","WO","")</f>
        <v>WO</v>
      </c>
      <c r="L9" s="18" t="s">
        <v>38</v>
      </c>
      <c r="M9" s="18" t="s">
        <v>38</v>
      </c>
      <c r="N9" s="18" t="s">
        <v>38</v>
      </c>
      <c r="O9" s="18" t="s">
        <v>38</v>
      </c>
      <c r="P9" s="18" t="s">
        <v>38</v>
      </c>
      <c r="Q9" s="18" t="s">
        <v>38</v>
      </c>
      <c r="R9" s="18" t="str">
        <f t="shared" si="3"/>
        <v>WO</v>
      </c>
      <c r="S9" s="18" t="s">
        <v>38</v>
      </c>
      <c r="T9" s="18" t="s">
        <v>38</v>
      </c>
      <c r="U9" s="18" t="s">
        <v>38</v>
      </c>
      <c r="V9" s="18" t="s">
        <v>38</v>
      </c>
      <c r="W9" s="18" t="s">
        <v>38</v>
      </c>
      <c r="X9" s="18" t="s">
        <v>38</v>
      </c>
      <c r="Y9" s="18" t="str">
        <f t="shared" si="3"/>
        <v>WO</v>
      </c>
      <c r="Z9" s="18" t="s">
        <v>38</v>
      </c>
      <c r="AA9" s="18" t="s">
        <v>38</v>
      </c>
      <c r="AB9" s="18" t="s">
        <v>38</v>
      </c>
      <c r="AC9" s="18" t="s">
        <v>38</v>
      </c>
      <c r="AD9" s="18" t="s">
        <v>38</v>
      </c>
      <c r="AE9" s="18" t="s">
        <v>38</v>
      </c>
      <c r="AF9" s="18" t="str">
        <f t="shared" si="3"/>
        <v>WO</v>
      </c>
      <c r="AG9" s="18" t="s">
        <v>38</v>
      </c>
      <c r="AH9" s="18" t="s">
        <v>38</v>
      </c>
      <c r="AI9" s="18" t="s">
        <v>38</v>
      </c>
      <c r="AJ9" s="18" t="s">
        <v>38</v>
      </c>
      <c r="AK9" s="18" t="s">
        <v>40</v>
      </c>
      <c r="AL9" s="18" t="str">
        <f t="shared" si="3"/>
        <v/>
      </c>
      <c r="AM9" s="18" t="str">
        <f t="shared" si="3"/>
        <v/>
      </c>
      <c r="AN9" s="19" t="str">
        <f t="shared" si="3"/>
        <v/>
      </c>
      <c r="AO9" s="32"/>
      <c r="AP9" s="34"/>
      <c r="AQ9" s="9">
        <v>1</v>
      </c>
      <c r="AR9" s="9">
        <v>1001</v>
      </c>
      <c r="AS9" s="9" t="str">
        <f>$E$5</f>
        <v>February</v>
      </c>
      <c r="AT9" s="15" t="s">
        <v>3</v>
      </c>
      <c r="AU9" s="28">
        <f t="shared" ref="AU9:AU28" si="4">COUNTIF($J9:$AN9,"P")</f>
        <v>22</v>
      </c>
      <c r="AV9">
        <f t="shared" ref="AV9:AV28" si="5">COUNTIF($J9:$AN9,"A")</f>
        <v>0</v>
      </c>
      <c r="AW9">
        <f t="shared" ref="AW9:AW28" si="6">COUNTIF($J9:$AN9,"L")</f>
        <v>2</v>
      </c>
      <c r="AX9">
        <f>$I$9</f>
        <v>4</v>
      </c>
      <c r="AY9" s="29">
        <f>$H$5</f>
        <v>28</v>
      </c>
      <c r="AZ9" s="29">
        <f>AY9-AV9</f>
        <v>28</v>
      </c>
      <c r="BA9" s="30">
        <f ca="1">RANDBETWEEN(10000,50000)</f>
        <v>17140</v>
      </c>
      <c r="BB9" s="30">
        <f ca="1">BA9/AZ9</f>
        <v>612.14285714285711</v>
      </c>
      <c r="BC9" s="30">
        <f ca="1">BB9*AV9</f>
        <v>0</v>
      </c>
      <c r="BD9" s="30">
        <f ca="1">BA9-BC9</f>
        <v>17140</v>
      </c>
      <c r="BF9" s="34"/>
      <c r="BG9" s="31"/>
      <c r="BH9" s="31"/>
      <c r="BI9" s="31"/>
      <c r="BJ9" s="31"/>
    </row>
    <row r="10" spans="1:62" x14ac:dyDescent="0.3">
      <c r="C10" s="31"/>
      <c r="D10" s="31"/>
      <c r="E10" s="32"/>
      <c r="F10" s="8">
        <v>2</v>
      </c>
      <c r="G10" s="9">
        <v>1002</v>
      </c>
      <c r="H10" s="15" t="s">
        <v>4</v>
      </c>
      <c r="I10" s="17">
        <f t="shared" ref="I10:I28" si="7">COUNTIF($J$7:$AN$7,"Sun")</f>
        <v>4</v>
      </c>
      <c r="J10" s="18" t="s">
        <v>40</v>
      </c>
      <c r="K10" s="18" t="str">
        <f t="shared" si="3"/>
        <v>WO</v>
      </c>
      <c r="L10" s="18" t="s">
        <v>38</v>
      </c>
      <c r="M10" s="18" t="s">
        <v>38</v>
      </c>
      <c r="N10" s="18" t="s">
        <v>39</v>
      </c>
      <c r="O10" s="18" t="s">
        <v>38</v>
      </c>
      <c r="P10" s="18" t="s">
        <v>39</v>
      </c>
      <c r="Q10" s="18" t="s">
        <v>39</v>
      </c>
      <c r="R10" s="18" t="str">
        <f t="shared" si="3"/>
        <v>WO</v>
      </c>
      <c r="S10" s="18" t="s">
        <v>38</v>
      </c>
      <c r="T10" s="18" t="s">
        <v>38</v>
      </c>
      <c r="U10" s="18" t="s">
        <v>39</v>
      </c>
      <c r="V10" s="18" t="s">
        <v>38</v>
      </c>
      <c r="W10" s="18" t="s">
        <v>39</v>
      </c>
      <c r="X10" s="18" t="s">
        <v>39</v>
      </c>
      <c r="Y10" s="18" t="str">
        <f t="shared" si="3"/>
        <v>WO</v>
      </c>
      <c r="Z10" s="18" t="s">
        <v>38</v>
      </c>
      <c r="AA10" s="18" t="s">
        <v>38</v>
      </c>
      <c r="AB10" s="18" t="s">
        <v>39</v>
      </c>
      <c r="AC10" s="18" t="s">
        <v>38</v>
      </c>
      <c r="AD10" s="18" t="s">
        <v>38</v>
      </c>
      <c r="AE10" s="18" t="s">
        <v>39</v>
      </c>
      <c r="AF10" s="18" t="str">
        <f t="shared" si="3"/>
        <v>WO</v>
      </c>
      <c r="AG10" s="18" t="s">
        <v>38</v>
      </c>
      <c r="AH10" s="18" t="s">
        <v>38</v>
      </c>
      <c r="AI10" s="18" t="s">
        <v>39</v>
      </c>
      <c r="AJ10" s="18" t="s">
        <v>38</v>
      </c>
      <c r="AK10" s="18" t="s">
        <v>40</v>
      </c>
      <c r="AL10" s="18" t="str">
        <f t="shared" si="3"/>
        <v/>
      </c>
      <c r="AM10" s="18" t="str">
        <f t="shared" si="3"/>
        <v/>
      </c>
      <c r="AN10" s="19" t="str">
        <f t="shared" si="3"/>
        <v/>
      </c>
      <c r="AO10" s="32"/>
      <c r="AP10" s="34"/>
      <c r="AQ10" s="9">
        <v>2</v>
      </c>
      <c r="AR10" s="9">
        <v>1002</v>
      </c>
      <c r="AS10" s="9" t="str">
        <f t="shared" ref="AS10:AS28" si="8">$E$5</f>
        <v>February</v>
      </c>
      <c r="AT10" s="15" t="s">
        <v>4</v>
      </c>
      <c r="AU10" s="28">
        <f t="shared" si="4"/>
        <v>13</v>
      </c>
      <c r="AV10">
        <f t="shared" si="5"/>
        <v>9</v>
      </c>
      <c r="AW10">
        <f t="shared" si="6"/>
        <v>2</v>
      </c>
      <c r="AX10">
        <f t="shared" ref="AX10:AX28" si="9">$I$9</f>
        <v>4</v>
      </c>
      <c r="AY10" s="29">
        <f t="shared" ref="AY10:AY28" si="10">$H$5</f>
        <v>28</v>
      </c>
      <c r="AZ10" s="29">
        <f t="shared" ref="AZ10:AZ28" si="11">AY10-AV10</f>
        <v>19</v>
      </c>
      <c r="BA10" s="30">
        <f t="shared" ref="BA10:BA28" ca="1" si="12">RANDBETWEEN(10000,50000)</f>
        <v>27634</v>
      </c>
      <c r="BB10" s="30">
        <f t="shared" ref="BB10:BB28" ca="1" si="13">BA10/AZ10</f>
        <v>1454.421052631579</v>
      </c>
      <c r="BC10" s="30">
        <f t="shared" ref="BC10:BC28" ca="1" si="14">BB10*AV10</f>
        <v>13089.78947368421</v>
      </c>
      <c r="BD10" s="30">
        <f t="shared" ref="BD10:BD28" ca="1" si="15">BA10-BC10</f>
        <v>14544.21052631579</v>
      </c>
      <c r="BF10" s="34"/>
      <c r="BG10" s="31"/>
      <c r="BH10" s="31"/>
      <c r="BI10" s="31"/>
      <c r="BJ10" s="31"/>
    </row>
    <row r="11" spans="1:62" x14ac:dyDescent="0.3">
      <c r="C11" s="31"/>
      <c r="D11" s="31"/>
      <c r="E11" s="32"/>
      <c r="F11" s="8">
        <v>3</v>
      </c>
      <c r="G11" s="9">
        <v>1003</v>
      </c>
      <c r="H11" s="15" t="s">
        <v>5</v>
      </c>
      <c r="I11" s="17">
        <f t="shared" si="7"/>
        <v>4</v>
      </c>
      <c r="J11" s="18" t="s">
        <v>40</v>
      </c>
      <c r="K11" s="18" t="str">
        <f t="shared" si="3"/>
        <v>WO</v>
      </c>
      <c r="L11" s="18" t="s">
        <v>38</v>
      </c>
      <c r="M11" s="18" t="s">
        <v>39</v>
      </c>
      <c r="N11" s="18" t="s">
        <v>38</v>
      </c>
      <c r="O11" s="18" t="s">
        <v>38</v>
      </c>
      <c r="P11" s="18" t="s">
        <v>38</v>
      </c>
      <c r="Q11" s="18" t="s">
        <v>38</v>
      </c>
      <c r="R11" s="18" t="str">
        <f t="shared" si="3"/>
        <v>WO</v>
      </c>
      <c r="S11" s="18" t="s">
        <v>38</v>
      </c>
      <c r="T11" s="18" t="s">
        <v>39</v>
      </c>
      <c r="U11" s="18" t="s">
        <v>38</v>
      </c>
      <c r="V11" s="18" t="s">
        <v>38</v>
      </c>
      <c r="W11" s="18" t="s">
        <v>38</v>
      </c>
      <c r="X11" s="18" t="s">
        <v>38</v>
      </c>
      <c r="Y11" s="18" t="str">
        <f t="shared" si="3"/>
        <v>WO</v>
      </c>
      <c r="Z11" s="18" t="s">
        <v>38</v>
      </c>
      <c r="AA11" s="18" t="s">
        <v>38</v>
      </c>
      <c r="AB11" s="18" t="s">
        <v>38</v>
      </c>
      <c r="AC11" s="18" t="s">
        <v>38</v>
      </c>
      <c r="AD11" s="18" t="s">
        <v>38</v>
      </c>
      <c r="AE11" s="18" t="s">
        <v>38</v>
      </c>
      <c r="AF11" s="18" t="str">
        <f t="shared" si="3"/>
        <v>WO</v>
      </c>
      <c r="AG11" s="18" t="s">
        <v>38</v>
      </c>
      <c r="AH11" s="18" t="s">
        <v>38</v>
      </c>
      <c r="AI11" s="18" t="s">
        <v>38</v>
      </c>
      <c r="AJ11" s="18" t="s">
        <v>38</v>
      </c>
      <c r="AK11" s="18" t="s">
        <v>40</v>
      </c>
      <c r="AL11" s="18" t="str">
        <f t="shared" si="3"/>
        <v/>
      </c>
      <c r="AM11" s="18" t="str">
        <f t="shared" si="3"/>
        <v/>
      </c>
      <c r="AN11" s="19" t="str">
        <f t="shared" si="3"/>
        <v/>
      </c>
      <c r="AO11" s="32"/>
      <c r="AP11" s="34"/>
      <c r="AQ11" s="9">
        <v>3</v>
      </c>
      <c r="AR11" s="9">
        <v>1003</v>
      </c>
      <c r="AS11" s="9" t="str">
        <f t="shared" si="8"/>
        <v>February</v>
      </c>
      <c r="AT11" s="15" t="s">
        <v>5</v>
      </c>
      <c r="AU11" s="28">
        <f t="shared" si="4"/>
        <v>20</v>
      </c>
      <c r="AV11">
        <f t="shared" si="5"/>
        <v>2</v>
      </c>
      <c r="AW11">
        <f t="shared" si="6"/>
        <v>2</v>
      </c>
      <c r="AX11">
        <f t="shared" si="9"/>
        <v>4</v>
      </c>
      <c r="AY11" s="29">
        <f t="shared" si="10"/>
        <v>28</v>
      </c>
      <c r="AZ11" s="29">
        <f t="shared" si="11"/>
        <v>26</v>
      </c>
      <c r="BA11" s="30">
        <f t="shared" ca="1" si="12"/>
        <v>17958</v>
      </c>
      <c r="BB11" s="30">
        <f t="shared" ca="1" si="13"/>
        <v>690.69230769230774</v>
      </c>
      <c r="BC11" s="30">
        <f t="shared" ca="1" si="14"/>
        <v>1381.3846153846155</v>
      </c>
      <c r="BD11" s="30">
        <f t="shared" ca="1" si="15"/>
        <v>16576.615384615383</v>
      </c>
      <c r="BF11" s="34"/>
      <c r="BG11" s="31"/>
      <c r="BH11" s="31"/>
      <c r="BI11" s="31"/>
      <c r="BJ11" s="31"/>
    </row>
    <row r="12" spans="1:62" x14ac:dyDescent="0.3">
      <c r="C12" s="31"/>
      <c r="D12" s="31"/>
      <c r="E12" s="32"/>
      <c r="F12" s="8">
        <v>4</v>
      </c>
      <c r="G12" s="9">
        <v>1004</v>
      </c>
      <c r="H12" s="15" t="s">
        <v>6</v>
      </c>
      <c r="I12" s="17">
        <f t="shared" si="7"/>
        <v>4</v>
      </c>
      <c r="J12" s="18" t="s">
        <v>38</v>
      </c>
      <c r="K12" s="18" t="str">
        <f t="shared" si="3"/>
        <v>WO</v>
      </c>
      <c r="L12" s="18" t="s">
        <v>38</v>
      </c>
      <c r="M12" s="18" t="s">
        <v>39</v>
      </c>
      <c r="N12" s="18" t="s">
        <v>38</v>
      </c>
      <c r="O12" s="18" t="s">
        <v>38</v>
      </c>
      <c r="P12" s="18" t="s">
        <v>38</v>
      </c>
      <c r="Q12" s="18" t="s">
        <v>38</v>
      </c>
      <c r="R12" s="18" t="str">
        <f t="shared" si="3"/>
        <v>WO</v>
      </c>
      <c r="S12" s="18" t="s">
        <v>38</v>
      </c>
      <c r="T12" s="18" t="s">
        <v>39</v>
      </c>
      <c r="U12" s="18" t="s">
        <v>38</v>
      </c>
      <c r="V12" s="18" t="s">
        <v>38</v>
      </c>
      <c r="W12" s="18" t="s">
        <v>38</v>
      </c>
      <c r="X12" s="18" t="s">
        <v>38</v>
      </c>
      <c r="Y12" s="18" t="str">
        <f t="shared" si="3"/>
        <v>WO</v>
      </c>
      <c r="Z12" s="18" t="s">
        <v>38</v>
      </c>
      <c r="AA12" s="18" t="s">
        <v>39</v>
      </c>
      <c r="AB12" s="18" t="s">
        <v>38</v>
      </c>
      <c r="AC12" s="18" t="s">
        <v>40</v>
      </c>
      <c r="AD12" s="18" t="s">
        <v>38</v>
      </c>
      <c r="AE12" s="18" t="s">
        <v>38</v>
      </c>
      <c r="AF12" s="18" t="str">
        <f t="shared" si="3"/>
        <v>WO</v>
      </c>
      <c r="AG12" s="18" t="s">
        <v>38</v>
      </c>
      <c r="AH12" s="18" t="s">
        <v>38</v>
      </c>
      <c r="AI12" s="18" t="s">
        <v>38</v>
      </c>
      <c r="AJ12" s="18" t="s">
        <v>38</v>
      </c>
      <c r="AK12" s="18" t="s">
        <v>40</v>
      </c>
      <c r="AL12" s="18" t="str">
        <f t="shared" si="3"/>
        <v/>
      </c>
      <c r="AM12" s="18" t="str">
        <f t="shared" si="3"/>
        <v/>
      </c>
      <c r="AN12" s="19" t="str">
        <f t="shared" si="3"/>
        <v/>
      </c>
      <c r="AO12" s="32"/>
      <c r="AP12" s="34"/>
      <c r="AQ12" s="9">
        <v>4</v>
      </c>
      <c r="AR12" s="9">
        <v>1004</v>
      </c>
      <c r="AS12" s="9" t="str">
        <f t="shared" si="8"/>
        <v>February</v>
      </c>
      <c r="AT12" s="15" t="s">
        <v>6</v>
      </c>
      <c r="AU12" s="28">
        <f t="shared" si="4"/>
        <v>19</v>
      </c>
      <c r="AV12">
        <f t="shared" si="5"/>
        <v>3</v>
      </c>
      <c r="AW12">
        <f t="shared" si="6"/>
        <v>2</v>
      </c>
      <c r="AX12">
        <f t="shared" si="9"/>
        <v>4</v>
      </c>
      <c r="AY12" s="29">
        <f t="shared" si="10"/>
        <v>28</v>
      </c>
      <c r="AZ12" s="29">
        <f t="shared" si="11"/>
        <v>25</v>
      </c>
      <c r="BA12" s="30">
        <f t="shared" ca="1" si="12"/>
        <v>33644</v>
      </c>
      <c r="BB12" s="30">
        <f t="shared" ca="1" si="13"/>
        <v>1345.76</v>
      </c>
      <c r="BC12" s="30">
        <f t="shared" ca="1" si="14"/>
        <v>4037.2799999999997</v>
      </c>
      <c r="BD12" s="30">
        <f t="shared" ca="1" si="15"/>
        <v>29606.720000000001</v>
      </c>
      <c r="BF12" s="34"/>
      <c r="BG12" s="31"/>
      <c r="BH12" s="31"/>
      <c r="BI12" s="31"/>
      <c r="BJ12" s="31"/>
    </row>
    <row r="13" spans="1:62" x14ac:dyDescent="0.3">
      <c r="C13" s="31"/>
      <c r="D13" s="31"/>
      <c r="E13" s="32"/>
      <c r="F13" s="8">
        <v>5</v>
      </c>
      <c r="G13" s="9">
        <v>1005</v>
      </c>
      <c r="H13" s="15" t="s">
        <v>7</v>
      </c>
      <c r="I13" s="17">
        <f t="shared" si="7"/>
        <v>4</v>
      </c>
      <c r="J13" s="18" t="s">
        <v>38</v>
      </c>
      <c r="K13" s="18" t="str">
        <f t="shared" si="3"/>
        <v>WO</v>
      </c>
      <c r="L13" s="18" t="s">
        <v>38</v>
      </c>
      <c r="M13" s="18" t="s">
        <v>38</v>
      </c>
      <c r="N13" s="18" t="s">
        <v>39</v>
      </c>
      <c r="O13" s="18" t="s">
        <v>38</v>
      </c>
      <c r="P13" s="18" t="s">
        <v>39</v>
      </c>
      <c r="Q13" s="18" t="s">
        <v>38</v>
      </c>
      <c r="R13" s="18" t="str">
        <f t="shared" si="3"/>
        <v>WO</v>
      </c>
      <c r="S13" s="18" t="s">
        <v>38</v>
      </c>
      <c r="T13" s="18" t="s">
        <v>38</v>
      </c>
      <c r="U13" s="18" t="s">
        <v>39</v>
      </c>
      <c r="V13" s="18" t="s">
        <v>38</v>
      </c>
      <c r="W13" s="18" t="s">
        <v>38</v>
      </c>
      <c r="X13" s="18" t="s">
        <v>39</v>
      </c>
      <c r="Y13" s="18" t="str">
        <f t="shared" si="3"/>
        <v>WO</v>
      </c>
      <c r="Z13" s="18" t="s">
        <v>38</v>
      </c>
      <c r="AA13" s="18" t="s">
        <v>38</v>
      </c>
      <c r="AB13" s="18" t="s">
        <v>39</v>
      </c>
      <c r="AC13" s="18" t="s">
        <v>38</v>
      </c>
      <c r="AD13" s="18" t="s">
        <v>38</v>
      </c>
      <c r="AE13" s="18" t="s">
        <v>38</v>
      </c>
      <c r="AF13" s="18" t="str">
        <f t="shared" si="3"/>
        <v>WO</v>
      </c>
      <c r="AG13" s="18" t="s">
        <v>38</v>
      </c>
      <c r="AH13" s="18" t="s">
        <v>38</v>
      </c>
      <c r="AI13" s="18" t="s">
        <v>39</v>
      </c>
      <c r="AJ13" s="18" t="s">
        <v>38</v>
      </c>
      <c r="AK13" s="18" t="s">
        <v>40</v>
      </c>
      <c r="AL13" s="18" t="str">
        <f t="shared" si="3"/>
        <v/>
      </c>
      <c r="AM13" s="18" t="str">
        <f t="shared" si="3"/>
        <v/>
      </c>
      <c r="AN13" s="19" t="str">
        <f t="shared" si="3"/>
        <v/>
      </c>
      <c r="AO13" s="32"/>
      <c r="AP13" s="34"/>
      <c r="AQ13" s="9">
        <v>5</v>
      </c>
      <c r="AR13" s="9">
        <v>1005</v>
      </c>
      <c r="AS13" s="9" t="str">
        <f t="shared" si="8"/>
        <v>February</v>
      </c>
      <c r="AT13" s="15" t="s">
        <v>7</v>
      </c>
      <c r="AU13" s="28">
        <f t="shared" si="4"/>
        <v>17</v>
      </c>
      <c r="AV13">
        <f t="shared" si="5"/>
        <v>6</v>
      </c>
      <c r="AW13">
        <f t="shared" si="6"/>
        <v>1</v>
      </c>
      <c r="AX13">
        <f t="shared" si="9"/>
        <v>4</v>
      </c>
      <c r="AY13" s="29">
        <f t="shared" si="10"/>
        <v>28</v>
      </c>
      <c r="AZ13" s="29">
        <f t="shared" si="11"/>
        <v>22</v>
      </c>
      <c r="BA13" s="30">
        <f t="shared" ca="1" si="12"/>
        <v>27906</v>
      </c>
      <c r="BB13" s="30">
        <f t="shared" ca="1" si="13"/>
        <v>1268.4545454545455</v>
      </c>
      <c r="BC13" s="30">
        <f t="shared" ca="1" si="14"/>
        <v>7610.727272727273</v>
      </c>
      <c r="BD13" s="30">
        <f t="shared" ca="1" si="15"/>
        <v>20295.272727272728</v>
      </c>
      <c r="BF13" s="34"/>
      <c r="BG13" s="31"/>
      <c r="BH13" s="31"/>
      <c r="BI13" s="31"/>
      <c r="BJ13" s="31"/>
    </row>
    <row r="14" spans="1:62" x14ac:dyDescent="0.3">
      <c r="C14" s="31"/>
      <c r="D14" s="31"/>
      <c r="E14" s="32"/>
      <c r="F14" s="8">
        <v>6</v>
      </c>
      <c r="G14" s="9">
        <v>1006</v>
      </c>
      <c r="H14" s="15" t="s">
        <v>8</v>
      </c>
      <c r="I14" s="17">
        <f t="shared" si="7"/>
        <v>4</v>
      </c>
      <c r="J14" s="18" t="s">
        <v>38</v>
      </c>
      <c r="K14" s="18" t="str">
        <f t="shared" si="3"/>
        <v>WO</v>
      </c>
      <c r="L14" s="18" t="s">
        <v>38</v>
      </c>
      <c r="M14" s="18" t="s">
        <v>38</v>
      </c>
      <c r="N14" s="18" t="s">
        <v>39</v>
      </c>
      <c r="O14" s="18" t="s">
        <v>38</v>
      </c>
      <c r="P14" s="18" t="s">
        <v>39</v>
      </c>
      <c r="Q14" s="18" t="s">
        <v>38</v>
      </c>
      <c r="R14" s="18" t="str">
        <f t="shared" si="3"/>
        <v>WO</v>
      </c>
      <c r="S14" s="18" t="s">
        <v>38</v>
      </c>
      <c r="T14" s="18" t="s">
        <v>38</v>
      </c>
      <c r="U14" s="18" t="s">
        <v>39</v>
      </c>
      <c r="V14" s="18" t="s">
        <v>38</v>
      </c>
      <c r="W14" s="18" t="s">
        <v>40</v>
      </c>
      <c r="X14" s="18" t="s">
        <v>39</v>
      </c>
      <c r="Y14" s="18" t="str">
        <f t="shared" si="3"/>
        <v>WO</v>
      </c>
      <c r="Z14" s="18" t="s">
        <v>38</v>
      </c>
      <c r="AA14" s="18" t="s">
        <v>38</v>
      </c>
      <c r="AB14" s="18" t="s">
        <v>39</v>
      </c>
      <c r="AC14" s="18" t="s">
        <v>38</v>
      </c>
      <c r="AD14" s="18" t="s">
        <v>39</v>
      </c>
      <c r="AE14" s="18" t="s">
        <v>39</v>
      </c>
      <c r="AF14" s="18" t="str">
        <f t="shared" si="3"/>
        <v>WO</v>
      </c>
      <c r="AG14" s="18" t="s">
        <v>38</v>
      </c>
      <c r="AH14" s="18" t="s">
        <v>38</v>
      </c>
      <c r="AI14" s="18" t="s">
        <v>39</v>
      </c>
      <c r="AJ14" s="18" t="s">
        <v>38</v>
      </c>
      <c r="AK14" s="18" t="s">
        <v>40</v>
      </c>
      <c r="AL14" s="18" t="str">
        <f t="shared" si="3"/>
        <v/>
      </c>
      <c r="AM14" s="18" t="str">
        <f t="shared" si="3"/>
        <v/>
      </c>
      <c r="AN14" s="19" t="str">
        <f t="shared" si="3"/>
        <v/>
      </c>
      <c r="AO14" s="32"/>
      <c r="AP14" s="34"/>
      <c r="AQ14" s="9">
        <v>6</v>
      </c>
      <c r="AR14" s="9">
        <v>1006</v>
      </c>
      <c r="AS14" s="9" t="str">
        <f t="shared" si="8"/>
        <v>February</v>
      </c>
      <c r="AT14" s="15" t="s">
        <v>8</v>
      </c>
      <c r="AU14" s="28">
        <f t="shared" si="4"/>
        <v>14</v>
      </c>
      <c r="AV14">
        <f t="shared" si="5"/>
        <v>8</v>
      </c>
      <c r="AW14">
        <f t="shared" si="6"/>
        <v>2</v>
      </c>
      <c r="AX14">
        <f t="shared" si="9"/>
        <v>4</v>
      </c>
      <c r="AY14" s="29">
        <f t="shared" si="10"/>
        <v>28</v>
      </c>
      <c r="AZ14" s="29">
        <f t="shared" si="11"/>
        <v>20</v>
      </c>
      <c r="BA14" s="30">
        <f t="shared" ca="1" si="12"/>
        <v>12637</v>
      </c>
      <c r="BB14" s="30">
        <f t="shared" ca="1" si="13"/>
        <v>631.85</v>
      </c>
      <c r="BC14" s="30">
        <f t="shared" ca="1" si="14"/>
        <v>5054.8</v>
      </c>
      <c r="BD14" s="30">
        <f t="shared" ca="1" si="15"/>
        <v>7582.2</v>
      </c>
      <c r="BF14" s="34"/>
      <c r="BG14" s="31"/>
      <c r="BH14" s="31"/>
      <c r="BI14" s="31"/>
      <c r="BJ14" s="31"/>
    </row>
    <row r="15" spans="1:62" x14ac:dyDescent="0.3">
      <c r="C15" s="31"/>
      <c r="D15" s="31"/>
      <c r="E15" s="32"/>
      <c r="F15" s="8">
        <v>7</v>
      </c>
      <c r="G15" s="9">
        <v>1007</v>
      </c>
      <c r="H15" s="15" t="s">
        <v>9</v>
      </c>
      <c r="I15" s="17">
        <f t="shared" si="7"/>
        <v>4</v>
      </c>
      <c r="J15" s="18" t="s">
        <v>38</v>
      </c>
      <c r="K15" s="18" t="str">
        <f t="shared" si="3"/>
        <v>WO</v>
      </c>
      <c r="L15" s="18" t="s">
        <v>38</v>
      </c>
      <c r="M15" s="18" t="s">
        <v>38</v>
      </c>
      <c r="N15" s="18" t="s">
        <v>38</v>
      </c>
      <c r="O15" s="18" t="s">
        <v>38</v>
      </c>
      <c r="P15" s="18" t="s">
        <v>38</v>
      </c>
      <c r="Q15" s="18" t="s">
        <v>38</v>
      </c>
      <c r="R15" s="18" t="str">
        <f t="shared" si="3"/>
        <v>WO</v>
      </c>
      <c r="S15" s="18" t="s">
        <v>38</v>
      </c>
      <c r="T15" s="18" t="s">
        <v>38</v>
      </c>
      <c r="U15" s="18" t="s">
        <v>38</v>
      </c>
      <c r="V15" s="18" t="s">
        <v>38</v>
      </c>
      <c r="W15" s="18" t="s">
        <v>38</v>
      </c>
      <c r="X15" s="18" t="s">
        <v>38</v>
      </c>
      <c r="Y15" s="18" t="str">
        <f t="shared" si="3"/>
        <v>WO</v>
      </c>
      <c r="Z15" s="18" t="s">
        <v>38</v>
      </c>
      <c r="AA15" s="18" t="s">
        <v>38</v>
      </c>
      <c r="AB15" s="18" t="s">
        <v>38</v>
      </c>
      <c r="AC15" s="18" t="s">
        <v>38</v>
      </c>
      <c r="AD15" s="18" t="s">
        <v>38</v>
      </c>
      <c r="AE15" s="18" t="s">
        <v>38</v>
      </c>
      <c r="AF15" s="18" t="str">
        <f t="shared" si="3"/>
        <v>WO</v>
      </c>
      <c r="AG15" s="18" t="s">
        <v>38</v>
      </c>
      <c r="AH15" s="18" t="s">
        <v>38</v>
      </c>
      <c r="AI15" s="18" t="s">
        <v>38</v>
      </c>
      <c r="AJ15" s="18" t="s">
        <v>38</v>
      </c>
      <c r="AK15" s="18" t="s">
        <v>40</v>
      </c>
      <c r="AL15" s="18" t="str">
        <f t="shared" si="3"/>
        <v/>
      </c>
      <c r="AM15" s="18" t="str">
        <f t="shared" si="3"/>
        <v/>
      </c>
      <c r="AN15" s="19" t="str">
        <f t="shared" si="3"/>
        <v/>
      </c>
      <c r="AO15" s="32"/>
      <c r="AP15" s="34"/>
      <c r="AQ15" s="9">
        <v>7</v>
      </c>
      <c r="AR15" s="9">
        <v>1007</v>
      </c>
      <c r="AS15" s="9" t="str">
        <f t="shared" si="8"/>
        <v>February</v>
      </c>
      <c r="AT15" s="15" t="s">
        <v>9</v>
      </c>
      <c r="AU15" s="28">
        <f t="shared" si="4"/>
        <v>23</v>
      </c>
      <c r="AV15">
        <f t="shared" si="5"/>
        <v>0</v>
      </c>
      <c r="AW15">
        <f t="shared" si="6"/>
        <v>1</v>
      </c>
      <c r="AX15">
        <f t="shared" si="9"/>
        <v>4</v>
      </c>
      <c r="AY15" s="29">
        <f t="shared" si="10"/>
        <v>28</v>
      </c>
      <c r="AZ15" s="29">
        <f t="shared" si="11"/>
        <v>28</v>
      </c>
      <c r="BA15" s="30">
        <f t="shared" ca="1" si="12"/>
        <v>24495</v>
      </c>
      <c r="BB15" s="30">
        <f t="shared" ca="1" si="13"/>
        <v>874.82142857142856</v>
      </c>
      <c r="BC15" s="30">
        <f t="shared" ca="1" si="14"/>
        <v>0</v>
      </c>
      <c r="BD15" s="30">
        <f t="shared" ca="1" si="15"/>
        <v>24495</v>
      </c>
      <c r="BF15" s="34"/>
      <c r="BG15" s="31"/>
      <c r="BH15" s="31"/>
      <c r="BI15" s="31"/>
      <c r="BJ15" s="31"/>
    </row>
    <row r="16" spans="1:62" x14ac:dyDescent="0.3">
      <c r="C16" s="31"/>
      <c r="D16" s="31"/>
      <c r="E16" s="32"/>
      <c r="F16" s="8">
        <v>8</v>
      </c>
      <c r="G16" s="9">
        <v>1008</v>
      </c>
      <c r="H16" s="15" t="s">
        <v>10</v>
      </c>
      <c r="I16" s="17">
        <f t="shared" si="7"/>
        <v>4</v>
      </c>
      <c r="J16" s="18" t="s">
        <v>38</v>
      </c>
      <c r="K16" s="18" t="str">
        <f t="shared" si="3"/>
        <v>WO</v>
      </c>
      <c r="L16" s="18" t="s">
        <v>38</v>
      </c>
      <c r="M16" s="18" t="s">
        <v>39</v>
      </c>
      <c r="N16" s="18" t="s">
        <v>38</v>
      </c>
      <c r="O16" s="18" t="s">
        <v>38</v>
      </c>
      <c r="P16" s="18" t="s">
        <v>38</v>
      </c>
      <c r="Q16" s="18" t="s">
        <v>38</v>
      </c>
      <c r="R16" s="18" t="str">
        <f t="shared" si="3"/>
        <v>WO</v>
      </c>
      <c r="S16" s="18" t="s">
        <v>38</v>
      </c>
      <c r="T16" s="18" t="s">
        <v>39</v>
      </c>
      <c r="U16" s="18" t="s">
        <v>38</v>
      </c>
      <c r="V16" s="18" t="s">
        <v>38</v>
      </c>
      <c r="W16" s="18" t="s">
        <v>38</v>
      </c>
      <c r="X16" s="18" t="s">
        <v>38</v>
      </c>
      <c r="Y16" s="18" t="str">
        <f t="shared" si="3"/>
        <v>WO</v>
      </c>
      <c r="Z16" s="18" t="s">
        <v>38</v>
      </c>
      <c r="AA16" s="18" t="s">
        <v>39</v>
      </c>
      <c r="AB16" s="18" t="s">
        <v>38</v>
      </c>
      <c r="AC16" s="18" t="s">
        <v>38</v>
      </c>
      <c r="AD16" s="18" t="s">
        <v>38</v>
      </c>
      <c r="AE16" s="18" t="s">
        <v>38</v>
      </c>
      <c r="AF16" s="18" t="str">
        <f t="shared" si="3"/>
        <v>WO</v>
      </c>
      <c r="AG16" s="18" t="s">
        <v>38</v>
      </c>
      <c r="AH16" s="18" t="s">
        <v>39</v>
      </c>
      <c r="AI16" s="18" t="s">
        <v>38</v>
      </c>
      <c r="AJ16" s="18" t="s">
        <v>38</v>
      </c>
      <c r="AK16" s="18" t="s">
        <v>40</v>
      </c>
      <c r="AL16" s="18" t="str">
        <f t="shared" si="3"/>
        <v/>
      </c>
      <c r="AM16" s="18" t="str">
        <f t="shared" si="3"/>
        <v/>
      </c>
      <c r="AN16" s="19" t="str">
        <f t="shared" si="3"/>
        <v/>
      </c>
      <c r="AO16" s="32"/>
      <c r="AP16" s="34"/>
      <c r="AQ16" s="9">
        <v>8</v>
      </c>
      <c r="AR16" s="9">
        <v>1008</v>
      </c>
      <c r="AS16" s="9" t="str">
        <f t="shared" si="8"/>
        <v>February</v>
      </c>
      <c r="AT16" s="15" t="s">
        <v>10</v>
      </c>
      <c r="AU16" s="28">
        <f t="shared" si="4"/>
        <v>19</v>
      </c>
      <c r="AV16">
        <f t="shared" si="5"/>
        <v>4</v>
      </c>
      <c r="AW16">
        <f t="shared" si="6"/>
        <v>1</v>
      </c>
      <c r="AX16">
        <f t="shared" si="9"/>
        <v>4</v>
      </c>
      <c r="AY16" s="29">
        <f t="shared" si="10"/>
        <v>28</v>
      </c>
      <c r="AZ16" s="29">
        <f t="shared" si="11"/>
        <v>24</v>
      </c>
      <c r="BA16" s="30">
        <f t="shared" ca="1" si="12"/>
        <v>43311</v>
      </c>
      <c r="BB16" s="30">
        <f t="shared" ca="1" si="13"/>
        <v>1804.625</v>
      </c>
      <c r="BC16" s="30">
        <f t="shared" ca="1" si="14"/>
        <v>7218.5</v>
      </c>
      <c r="BD16" s="30">
        <f t="shared" ca="1" si="15"/>
        <v>36092.5</v>
      </c>
      <c r="BF16" s="34"/>
      <c r="BG16" s="31"/>
      <c r="BH16" s="31"/>
      <c r="BI16" s="31"/>
      <c r="BJ16" s="31"/>
    </row>
    <row r="17" spans="1:62" x14ac:dyDescent="0.3">
      <c r="C17" s="31"/>
      <c r="D17" s="31"/>
      <c r="E17" s="32"/>
      <c r="F17" s="8">
        <v>9</v>
      </c>
      <c r="G17" s="9">
        <v>1009</v>
      </c>
      <c r="H17" s="15" t="s">
        <v>11</v>
      </c>
      <c r="I17" s="17">
        <f t="shared" si="7"/>
        <v>4</v>
      </c>
      <c r="J17" s="18" t="s">
        <v>38</v>
      </c>
      <c r="K17" s="18" t="str">
        <f t="shared" si="3"/>
        <v>WO</v>
      </c>
      <c r="L17" s="18" t="s">
        <v>38</v>
      </c>
      <c r="M17" s="18" t="s">
        <v>38</v>
      </c>
      <c r="N17" s="18" t="s">
        <v>38</v>
      </c>
      <c r="O17" s="18" t="s">
        <v>38</v>
      </c>
      <c r="P17" s="18" t="s">
        <v>38</v>
      </c>
      <c r="Q17" s="18" t="s">
        <v>38</v>
      </c>
      <c r="R17" s="18" t="str">
        <f t="shared" si="3"/>
        <v>WO</v>
      </c>
      <c r="S17" s="18" t="s">
        <v>38</v>
      </c>
      <c r="T17" s="18" t="s">
        <v>38</v>
      </c>
      <c r="U17" s="18" t="s">
        <v>38</v>
      </c>
      <c r="V17" s="18" t="s">
        <v>38</v>
      </c>
      <c r="W17" s="18" t="s">
        <v>38</v>
      </c>
      <c r="X17" s="18" t="s">
        <v>38</v>
      </c>
      <c r="Y17" s="18" t="str">
        <f t="shared" si="3"/>
        <v>WO</v>
      </c>
      <c r="Z17" s="18" t="s">
        <v>38</v>
      </c>
      <c r="AA17" s="18" t="s">
        <v>38</v>
      </c>
      <c r="AB17" s="18" t="s">
        <v>38</v>
      </c>
      <c r="AC17" s="18" t="s">
        <v>38</v>
      </c>
      <c r="AD17" s="18" t="s">
        <v>40</v>
      </c>
      <c r="AE17" s="18" t="s">
        <v>38</v>
      </c>
      <c r="AF17" s="18" t="str">
        <f t="shared" ref="AF17:AN28" si="16">IF(AF$7="Sun","WO","")</f>
        <v>WO</v>
      </c>
      <c r="AG17" s="18" t="s">
        <v>38</v>
      </c>
      <c r="AH17" s="18" t="s">
        <v>38</v>
      </c>
      <c r="AI17" s="18" t="s">
        <v>38</v>
      </c>
      <c r="AJ17" s="18" t="s">
        <v>38</v>
      </c>
      <c r="AK17" s="18" t="s">
        <v>40</v>
      </c>
      <c r="AL17" s="18" t="str">
        <f t="shared" si="16"/>
        <v/>
      </c>
      <c r="AM17" s="18" t="str">
        <f t="shared" si="16"/>
        <v/>
      </c>
      <c r="AN17" s="19" t="str">
        <f t="shared" si="16"/>
        <v/>
      </c>
      <c r="AO17" s="32"/>
      <c r="AP17" s="34"/>
      <c r="AQ17" s="9">
        <v>9</v>
      </c>
      <c r="AR17" s="9">
        <v>1009</v>
      </c>
      <c r="AS17" s="9" t="str">
        <f t="shared" si="8"/>
        <v>February</v>
      </c>
      <c r="AT17" s="15" t="s">
        <v>11</v>
      </c>
      <c r="AU17" s="28">
        <f t="shared" si="4"/>
        <v>22</v>
      </c>
      <c r="AV17">
        <f t="shared" si="5"/>
        <v>0</v>
      </c>
      <c r="AW17">
        <f t="shared" si="6"/>
        <v>2</v>
      </c>
      <c r="AX17">
        <f t="shared" si="9"/>
        <v>4</v>
      </c>
      <c r="AY17" s="29">
        <f t="shared" si="10"/>
        <v>28</v>
      </c>
      <c r="AZ17" s="29">
        <f t="shared" si="11"/>
        <v>28</v>
      </c>
      <c r="BA17" s="30">
        <f t="shared" ca="1" si="12"/>
        <v>39414</v>
      </c>
      <c r="BB17" s="30">
        <f t="shared" ca="1" si="13"/>
        <v>1407.6428571428571</v>
      </c>
      <c r="BC17" s="30">
        <f t="shared" ca="1" si="14"/>
        <v>0</v>
      </c>
      <c r="BD17" s="30">
        <f t="shared" ca="1" si="15"/>
        <v>39414</v>
      </c>
      <c r="BF17" s="34"/>
      <c r="BG17" s="31"/>
      <c r="BH17" s="31"/>
      <c r="BI17" s="31"/>
      <c r="BJ17" s="31"/>
    </row>
    <row r="18" spans="1:62" x14ac:dyDescent="0.3">
      <c r="C18" s="31"/>
      <c r="D18" s="31"/>
      <c r="E18" s="32"/>
      <c r="F18" s="8">
        <v>10</v>
      </c>
      <c r="G18" s="9">
        <v>1010</v>
      </c>
      <c r="H18" s="15" t="s">
        <v>12</v>
      </c>
      <c r="I18" s="17">
        <f t="shared" si="7"/>
        <v>4</v>
      </c>
      <c r="J18" s="18" t="s">
        <v>38</v>
      </c>
      <c r="K18" s="18" t="str">
        <f t="shared" ref="K18:Y28" si="17">IF(K$7="Sun","WO","")</f>
        <v>WO</v>
      </c>
      <c r="L18" s="18" t="s">
        <v>38</v>
      </c>
      <c r="M18" s="18" t="s">
        <v>38</v>
      </c>
      <c r="N18" s="18" t="s">
        <v>39</v>
      </c>
      <c r="O18" s="18" t="s">
        <v>38</v>
      </c>
      <c r="P18" s="18" t="s">
        <v>38</v>
      </c>
      <c r="Q18" s="18" t="s">
        <v>39</v>
      </c>
      <c r="R18" s="18" t="str">
        <f t="shared" si="17"/>
        <v>WO</v>
      </c>
      <c r="S18" s="18" t="s">
        <v>38</v>
      </c>
      <c r="T18" s="18" t="s">
        <v>38</v>
      </c>
      <c r="U18" s="18" t="s">
        <v>39</v>
      </c>
      <c r="V18" s="18" t="s">
        <v>38</v>
      </c>
      <c r="W18" s="18" t="s">
        <v>38</v>
      </c>
      <c r="X18" s="18" t="s">
        <v>39</v>
      </c>
      <c r="Y18" s="18" t="str">
        <f t="shared" si="17"/>
        <v>WO</v>
      </c>
      <c r="Z18" s="18" t="s">
        <v>38</v>
      </c>
      <c r="AA18" s="18" t="s">
        <v>38</v>
      </c>
      <c r="AB18" s="18" t="s">
        <v>38</v>
      </c>
      <c r="AC18" s="18" t="s">
        <v>38</v>
      </c>
      <c r="AD18" s="18" t="s">
        <v>38</v>
      </c>
      <c r="AE18" s="18" t="s">
        <v>39</v>
      </c>
      <c r="AF18" s="18" t="str">
        <f t="shared" si="16"/>
        <v>WO</v>
      </c>
      <c r="AG18" s="18" t="s">
        <v>38</v>
      </c>
      <c r="AH18" s="18" t="s">
        <v>38</v>
      </c>
      <c r="AI18" s="18" t="s">
        <v>39</v>
      </c>
      <c r="AJ18" s="18" t="s">
        <v>38</v>
      </c>
      <c r="AK18" s="18" t="s">
        <v>40</v>
      </c>
      <c r="AL18" s="18" t="str">
        <f t="shared" si="16"/>
        <v/>
      </c>
      <c r="AM18" s="18" t="str">
        <f t="shared" si="16"/>
        <v/>
      </c>
      <c r="AN18" s="19" t="str">
        <f t="shared" si="16"/>
        <v/>
      </c>
      <c r="AO18" s="32"/>
      <c r="AP18" s="34"/>
      <c r="AQ18" s="9">
        <v>10</v>
      </c>
      <c r="AR18" s="9">
        <v>1010</v>
      </c>
      <c r="AS18" s="9" t="str">
        <f t="shared" si="8"/>
        <v>February</v>
      </c>
      <c r="AT18" s="15" t="s">
        <v>12</v>
      </c>
      <c r="AU18" s="28">
        <f t="shared" si="4"/>
        <v>17</v>
      </c>
      <c r="AV18">
        <f t="shared" si="5"/>
        <v>6</v>
      </c>
      <c r="AW18">
        <f t="shared" si="6"/>
        <v>1</v>
      </c>
      <c r="AX18">
        <f t="shared" si="9"/>
        <v>4</v>
      </c>
      <c r="AY18" s="29">
        <f t="shared" si="10"/>
        <v>28</v>
      </c>
      <c r="AZ18" s="29">
        <f t="shared" si="11"/>
        <v>22</v>
      </c>
      <c r="BA18" s="30">
        <f t="shared" ca="1" si="12"/>
        <v>35689</v>
      </c>
      <c r="BB18" s="30">
        <f t="shared" ca="1" si="13"/>
        <v>1622.2272727272727</v>
      </c>
      <c r="BC18" s="30">
        <f t="shared" ca="1" si="14"/>
        <v>9733.363636363636</v>
      </c>
      <c r="BD18" s="30">
        <f t="shared" ca="1" si="15"/>
        <v>25955.636363636364</v>
      </c>
      <c r="BF18" s="34"/>
      <c r="BG18" s="31"/>
      <c r="BH18" s="31"/>
      <c r="BI18" s="31"/>
      <c r="BJ18" s="31"/>
    </row>
    <row r="19" spans="1:62" x14ac:dyDescent="0.3">
      <c r="C19" s="31"/>
      <c r="D19" s="31"/>
      <c r="E19" s="32"/>
      <c r="F19" s="8">
        <v>11</v>
      </c>
      <c r="G19" s="9">
        <v>1011</v>
      </c>
      <c r="H19" s="15" t="s">
        <v>13</v>
      </c>
      <c r="I19" s="17">
        <f t="shared" si="7"/>
        <v>4</v>
      </c>
      <c r="J19" s="18" t="s">
        <v>38</v>
      </c>
      <c r="K19" s="18" t="str">
        <f t="shared" si="17"/>
        <v>WO</v>
      </c>
      <c r="L19" s="18" t="s">
        <v>38</v>
      </c>
      <c r="M19" s="18" t="s">
        <v>38</v>
      </c>
      <c r="N19" s="18" t="s">
        <v>38</v>
      </c>
      <c r="O19" s="18" t="s">
        <v>38</v>
      </c>
      <c r="P19" s="18" t="s">
        <v>38</v>
      </c>
      <c r="Q19" s="18" t="s">
        <v>38</v>
      </c>
      <c r="R19" s="18" t="str">
        <f t="shared" si="17"/>
        <v>WO</v>
      </c>
      <c r="S19" s="18" t="s">
        <v>38</v>
      </c>
      <c r="T19" s="18" t="s">
        <v>38</v>
      </c>
      <c r="U19" s="18" t="s">
        <v>38</v>
      </c>
      <c r="V19" s="18" t="s">
        <v>38</v>
      </c>
      <c r="W19" s="18" t="s">
        <v>38</v>
      </c>
      <c r="X19" s="18" t="s">
        <v>38</v>
      </c>
      <c r="Y19" s="18" t="str">
        <f t="shared" si="17"/>
        <v>WO</v>
      </c>
      <c r="Z19" s="18" t="s">
        <v>38</v>
      </c>
      <c r="AA19" s="18" t="s">
        <v>38</v>
      </c>
      <c r="AB19" s="18" t="s">
        <v>38</v>
      </c>
      <c r="AC19" s="18" t="s">
        <v>40</v>
      </c>
      <c r="AD19" s="18" t="s">
        <v>38</v>
      </c>
      <c r="AE19" s="18" t="s">
        <v>38</v>
      </c>
      <c r="AF19" s="18" t="str">
        <f t="shared" si="16"/>
        <v>WO</v>
      </c>
      <c r="AG19" s="18" t="s">
        <v>38</v>
      </c>
      <c r="AH19" s="18" t="s">
        <v>38</v>
      </c>
      <c r="AI19" s="18" t="s">
        <v>38</v>
      </c>
      <c r="AJ19" s="18" t="s">
        <v>38</v>
      </c>
      <c r="AK19" s="18" t="s">
        <v>40</v>
      </c>
      <c r="AL19" s="18" t="str">
        <f t="shared" si="16"/>
        <v/>
      </c>
      <c r="AM19" s="18" t="str">
        <f t="shared" si="16"/>
        <v/>
      </c>
      <c r="AN19" s="19" t="str">
        <f t="shared" si="16"/>
        <v/>
      </c>
      <c r="AO19" s="32"/>
      <c r="AP19" s="34"/>
      <c r="AQ19" s="9">
        <v>11</v>
      </c>
      <c r="AR19" s="9">
        <v>1011</v>
      </c>
      <c r="AS19" s="9" t="str">
        <f t="shared" si="8"/>
        <v>February</v>
      </c>
      <c r="AT19" s="15" t="s">
        <v>13</v>
      </c>
      <c r="AU19" s="28">
        <f t="shared" si="4"/>
        <v>22</v>
      </c>
      <c r="AV19">
        <f t="shared" si="5"/>
        <v>0</v>
      </c>
      <c r="AW19">
        <f t="shared" si="6"/>
        <v>2</v>
      </c>
      <c r="AX19">
        <f t="shared" si="9"/>
        <v>4</v>
      </c>
      <c r="AY19" s="29">
        <f t="shared" si="10"/>
        <v>28</v>
      </c>
      <c r="AZ19" s="29">
        <f t="shared" si="11"/>
        <v>28</v>
      </c>
      <c r="BA19" s="30">
        <f t="shared" ca="1" si="12"/>
        <v>29136</v>
      </c>
      <c r="BB19" s="30">
        <f t="shared" ca="1" si="13"/>
        <v>1040.5714285714287</v>
      </c>
      <c r="BC19" s="30">
        <f t="shared" ca="1" si="14"/>
        <v>0</v>
      </c>
      <c r="BD19" s="30">
        <f t="shared" ca="1" si="15"/>
        <v>29136</v>
      </c>
      <c r="BF19" s="34"/>
      <c r="BG19" s="31"/>
      <c r="BH19" s="31"/>
      <c r="BI19" s="31"/>
      <c r="BJ19" s="31"/>
    </row>
    <row r="20" spans="1:62" x14ac:dyDescent="0.3">
      <c r="C20" s="31"/>
      <c r="D20" s="31"/>
      <c r="E20" s="32"/>
      <c r="F20" s="8">
        <v>12</v>
      </c>
      <c r="G20" s="9">
        <v>1012</v>
      </c>
      <c r="H20" s="15" t="s">
        <v>14</v>
      </c>
      <c r="I20" s="17">
        <f t="shared" si="7"/>
        <v>4</v>
      </c>
      <c r="J20" s="18" t="s">
        <v>38</v>
      </c>
      <c r="K20" s="18" t="str">
        <f t="shared" si="17"/>
        <v>WO</v>
      </c>
      <c r="L20" s="18" t="s">
        <v>38</v>
      </c>
      <c r="M20" s="18" t="s">
        <v>38</v>
      </c>
      <c r="N20" s="18" t="s">
        <v>38</v>
      </c>
      <c r="O20" s="18" t="s">
        <v>38</v>
      </c>
      <c r="P20" s="18" t="s">
        <v>38</v>
      </c>
      <c r="Q20" s="18" t="s">
        <v>38</v>
      </c>
      <c r="R20" s="18" t="str">
        <f t="shared" si="17"/>
        <v>WO</v>
      </c>
      <c r="S20" s="18" t="s">
        <v>38</v>
      </c>
      <c r="T20" s="18" t="s">
        <v>38</v>
      </c>
      <c r="U20" s="18" t="s">
        <v>38</v>
      </c>
      <c r="V20" s="18" t="s">
        <v>38</v>
      </c>
      <c r="W20" s="18" t="s">
        <v>38</v>
      </c>
      <c r="X20" s="18" t="s">
        <v>38</v>
      </c>
      <c r="Y20" s="18" t="str">
        <f t="shared" si="17"/>
        <v>WO</v>
      </c>
      <c r="Z20" s="18" t="s">
        <v>38</v>
      </c>
      <c r="AA20" s="18" t="s">
        <v>38</v>
      </c>
      <c r="AB20" s="18" t="s">
        <v>38</v>
      </c>
      <c r="AC20" s="18" t="s">
        <v>38</v>
      </c>
      <c r="AD20" s="18" t="s">
        <v>38</v>
      </c>
      <c r="AE20" s="18" t="s">
        <v>38</v>
      </c>
      <c r="AF20" s="18" t="str">
        <f t="shared" si="16"/>
        <v>WO</v>
      </c>
      <c r="AG20" s="18" t="s">
        <v>38</v>
      </c>
      <c r="AH20" s="18" t="s">
        <v>38</v>
      </c>
      <c r="AI20" s="18" t="s">
        <v>38</v>
      </c>
      <c r="AJ20" s="18" t="s">
        <v>38</v>
      </c>
      <c r="AK20" s="18" t="s">
        <v>40</v>
      </c>
      <c r="AL20" s="18" t="str">
        <f t="shared" si="16"/>
        <v/>
      </c>
      <c r="AM20" s="18" t="str">
        <f t="shared" si="16"/>
        <v/>
      </c>
      <c r="AN20" s="19" t="str">
        <f t="shared" si="16"/>
        <v/>
      </c>
      <c r="AO20" s="32"/>
      <c r="AP20" s="34"/>
      <c r="AQ20" s="9">
        <v>12</v>
      </c>
      <c r="AR20" s="9">
        <v>1012</v>
      </c>
      <c r="AS20" s="9" t="str">
        <f t="shared" si="8"/>
        <v>February</v>
      </c>
      <c r="AT20" s="15" t="s">
        <v>14</v>
      </c>
      <c r="AU20" s="28">
        <f t="shared" si="4"/>
        <v>23</v>
      </c>
      <c r="AV20">
        <f t="shared" si="5"/>
        <v>0</v>
      </c>
      <c r="AW20">
        <f t="shared" si="6"/>
        <v>1</v>
      </c>
      <c r="AX20">
        <f t="shared" si="9"/>
        <v>4</v>
      </c>
      <c r="AY20" s="29">
        <f t="shared" si="10"/>
        <v>28</v>
      </c>
      <c r="AZ20" s="29">
        <f t="shared" si="11"/>
        <v>28</v>
      </c>
      <c r="BA20" s="30">
        <f t="shared" ca="1" si="12"/>
        <v>23434</v>
      </c>
      <c r="BB20" s="30">
        <f t="shared" ca="1" si="13"/>
        <v>836.92857142857144</v>
      </c>
      <c r="BC20" s="30">
        <f t="shared" ca="1" si="14"/>
        <v>0</v>
      </c>
      <c r="BD20" s="30">
        <f t="shared" ca="1" si="15"/>
        <v>23434</v>
      </c>
      <c r="BF20" s="34"/>
      <c r="BG20" s="31"/>
      <c r="BH20" s="31"/>
      <c r="BI20" s="31"/>
      <c r="BJ20" s="31"/>
    </row>
    <row r="21" spans="1:62" x14ac:dyDescent="0.3">
      <c r="C21" s="31"/>
      <c r="D21" s="31"/>
      <c r="E21" s="32"/>
      <c r="F21" s="8">
        <v>13</v>
      </c>
      <c r="G21" s="9">
        <v>1013</v>
      </c>
      <c r="H21" s="15" t="s">
        <v>15</v>
      </c>
      <c r="I21" s="17">
        <f t="shared" si="7"/>
        <v>4</v>
      </c>
      <c r="J21" s="18" t="s">
        <v>38</v>
      </c>
      <c r="K21" s="18" t="str">
        <f t="shared" si="17"/>
        <v>WO</v>
      </c>
      <c r="L21" s="18" t="s">
        <v>38</v>
      </c>
      <c r="M21" s="18" t="s">
        <v>39</v>
      </c>
      <c r="N21" s="18" t="s">
        <v>38</v>
      </c>
      <c r="O21" s="18" t="s">
        <v>38</v>
      </c>
      <c r="P21" s="18" t="s">
        <v>38</v>
      </c>
      <c r="Q21" s="18" t="s">
        <v>38</v>
      </c>
      <c r="R21" s="18" t="str">
        <f t="shared" si="17"/>
        <v>WO</v>
      </c>
      <c r="S21" s="18" t="s">
        <v>38</v>
      </c>
      <c r="T21" s="18" t="s">
        <v>39</v>
      </c>
      <c r="U21" s="18" t="s">
        <v>38</v>
      </c>
      <c r="V21" s="18" t="s">
        <v>38</v>
      </c>
      <c r="W21" s="18" t="s">
        <v>38</v>
      </c>
      <c r="X21" s="18" t="s">
        <v>38</v>
      </c>
      <c r="Y21" s="18" t="str">
        <f t="shared" si="17"/>
        <v>WO</v>
      </c>
      <c r="Z21" s="18" t="s">
        <v>38</v>
      </c>
      <c r="AA21" s="18" t="s">
        <v>39</v>
      </c>
      <c r="AB21" s="18" t="s">
        <v>38</v>
      </c>
      <c r="AC21" s="18" t="s">
        <v>38</v>
      </c>
      <c r="AD21" s="18" t="s">
        <v>38</v>
      </c>
      <c r="AE21" s="18" t="s">
        <v>38</v>
      </c>
      <c r="AF21" s="18" t="str">
        <f t="shared" si="16"/>
        <v>WO</v>
      </c>
      <c r="AG21" s="18" t="s">
        <v>38</v>
      </c>
      <c r="AH21" s="18" t="s">
        <v>39</v>
      </c>
      <c r="AI21" s="18" t="s">
        <v>38</v>
      </c>
      <c r="AJ21" s="18" t="s">
        <v>38</v>
      </c>
      <c r="AK21" s="18" t="s">
        <v>40</v>
      </c>
      <c r="AL21" s="18" t="str">
        <f t="shared" si="16"/>
        <v/>
      </c>
      <c r="AM21" s="18" t="str">
        <f t="shared" si="16"/>
        <v/>
      </c>
      <c r="AN21" s="19" t="str">
        <f t="shared" si="16"/>
        <v/>
      </c>
      <c r="AO21" s="32"/>
      <c r="AP21" s="34"/>
      <c r="AQ21" s="9">
        <v>13</v>
      </c>
      <c r="AR21" s="9">
        <v>1013</v>
      </c>
      <c r="AS21" s="9" t="str">
        <f t="shared" si="8"/>
        <v>February</v>
      </c>
      <c r="AT21" s="15" t="s">
        <v>15</v>
      </c>
      <c r="AU21" s="28">
        <f t="shared" si="4"/>
        <v>19</v>
      </c>
      <c r="AV21">
        <f t="shared" si="5"/>
        <v>4</v>
      </c>
      <c r="AW21">
        <f t="shared" si="6"/>
        <v>1</v>
      </c>
      <c r="AX21">
        <f t="shared" si="9"/>
        <v>4</v>
      </c>
      <c r="AY21" s="29">
        <f t="shared" si="10"/>
        <v>28</v>
      </c>
      <c r="AZ21" s="29">
        <f t="shared" si="11"/>
        <v>24</v>
      </c>
      <c r="BA21" s="30">
        <f t="shared" ca="1" si="12"/>
        <v>35609</v>
      </c>
      <c r="BB21" s="30">
        <f t="shared" ca="1" si="13"/>
        <v>1483.7083333333333</v>
      </c>
      <c r="BC21" s="30">
        <f t="shared" ca="1" si="14"/>
        <v>5934.833333333333</v>
      </c>
      <c r="BD21" s="30">
        <f t="shared" ca="1" si="15"/>
        <v>29674.166666666668</v>
      </c>
      <c r="BF21" s="34"/>
      <c r="BG21" s="31"/>
      <c r="BH21" s="31"/>
      <c r="BI21" s="31"/>
      <c r="BJ21" s="31"/>
    </row>
    <row r="22" spans="1:62" x14ac:dyDescent="0.3">
      <c r="C22" s="31"/>
      <c r="D22" s="31"/>
      <c r="E22" s="32"/>
      <c r="F22" s="8">
        <v>14</v>
      </c>
      <c r="G22" s="9">
        <v>1014</v>
      </c>
      <c r="H22" s="15" t="s">
        <v>16</v>
      </c>
      <c r="I22" s="17">
        <f t="shared" si="7"/>
        <v>4</v>
      </c>
      <c r="J22" s="18" t="s">
        <v>38</v>
      </c>
      <c r="K22" s="18" t="str">
        <f t="shared" si="17"/>
        <v>WO</v>
      </c>
      <c r="L22" s="18" t="s">
        <v>38</v>
      </c>
      <c r="M22" s="18" t="s">
        <v>38</v>
      </c>
      <c r="N22" s="18" t="s">
        <v>38</v>
      </c>
      <c r="O22" s="18" t="s">
        <v>38</v>
      </c>
      <c r="P22" s="18" t="s">
        <v>38</v>
      </c>
      <c r="Q22" s="18" t="s">
        <v>38</v>
      </c>
      <c r="R22" s="18" t="str">
        <f t="shared" si="17"/>
        <v>WO</v>
      </c>
      <c r="S22" s="18" t="s">
        <v>38</v>
      </c>
      <c r="T22" s="18" t="s">
        <v>38</v>
      </c>
      <c r="U22" s="18" t="s">
        <v>38</v>
      </c>
      <c r="V22" s="18" t="s">
        <v>38</v>
      </c>
      <c r="W22" s="18" t="s">
        <v>38</v>
      </c>
      <c r="X22" s="18" t="s">
        <v>38</v>
      </c>
      <c r="Y22" s="18" t="str">
        <f t="shared" si="17"/>
        <v>WO</v>
      </c>
      <c r="Z22" s="18" t="s">
        <v>38</v>
      </c>
      <c r="AA22" s="18" t="s">
        <v>38</v>
      </c>
      <c r="AB22" s="18" t="s">
        <v>38</v>
      </c>
      <c r="AC22" s="18" t="s">
        <v>38</v>
      </c>
      <c r="AD22" s="18" t="s">
        <v>38</v>
      </c>
      <c r="AE22" s="18" t="s">
        <v>38</v>
      </c>
      <c r="AF22" s="18" t="str">
        <f t="shared" si="16"/>
        <v>WO</v>
      </c>
      <c r="AG22" s="18" t="s">
        <v>38</v>
      </c>
      <c r="AH22" s="18" t="s">
        <v>38</v>
      </c>
      <c r="AI22" s="18" t="s">
        <v>38</v>
      </c>
      <c r="AJ22" s="18" t="s">
        <v>38</v>
      </c>
      <c r="AK22" s="18" t="s">
        <v>40</v>
      </c>
      <c r="AL22" s="18" t="str">
        <f t="shared" si="16"/>
        <v/>
      </c>
      <c r="AM22" s="18" t="str">
        <f t="shared" si="16"/>
        <v/>
      </c>
      <c r="AN22" s="19" t="str">
        <f t="shared" si="16"/>
        <v/>
      </c>
      <c r="AO22" s="32"/>
      <c r="AP22" s="34"/>
      <c r="AQ22" s="9">
        <v>14</v>
      </c>
      <c r="AR22" s="9">
        <v>1014</v>
      </c>
      <c r="AS22" s="9" t="str">
        <f t="shared" si="8"/>
        <v>February</v>
      </c>
      <c r="AT22" s="15" t="s">
        <v>16</v>
      </c>
      <c r="AU22" s="28">
        <f t="shared" si="4"/>
        <v>23</v>
      </c>
      <c r="AV22">
        <f t="shared" si="5"/>
        <v>0</v>
      </c>
      <c r="AW22">
        <f t="shared" si="6"/>
        <v>1</v>
      </c>
      <c r="AX22">
        <f t="shared" si="9"/>
        <v>4</v>
      </c>
      <c r="AY22" s="29">
        <f t="shared" si="10"/>
        <v>28</v>
      </c>
      <c r="AZ22" s="29">
        <f t="shared" si="11"/>
        <v>28</v>
      </c>
      <c r="BA22" s="30">
        <f t="shared" ca="1" si="12"/>
        <v>42194</v>
      </c>
      <c r="BB22" s="30">
        <f t="shared" ca="1" si="13"/>
        <v>1506.9285714285713</v>
      </c>
      <c r="BC22" s="30">
        <f t="shared" ca="1" si="14"/>
        <v>0</v>
      </c>
      <c r="BD22" s="30">
        <f t="shared" ca="1" si="15"/>
        <v>42194</v>
      </c>
      <c r="BF22" s="34"/>
      <c r="BG22" s="31"/>
      <c r="BH22" s="31"/>
      <c r="BI22" s="31"/>
      <c r="BJ22" s="31"/>
    </row>
    <row r="23" spans="1:62" x14ac:dyDescent="0.3">
      <c r="C23" s="31"/>
      <c r="D23" s="31"/>
      <c r="E23" s="32"/>
      <c r="F23" s="8">
        <v>15</v>
      </c>
      <c r="G23" s="9">
        <v>1015</v>
      </c>
      <c r="H23" s="15" t="s">
        <v>17</v>
      </c>
      <c r="I23" s="17">
        <f t="shared" si="7"/>
        <v>4</v>
      </c>
      <c r="J23" s="18" t="s">
        <v>38</v>
      </c>
      <c r="K23" s="18" t="str">
        <f t="shared" si="17"/>
        <v>WO</v>
      </c>
      <c r="L23" s="18" t="s">
        <v>38</v>
      </c>
      <c r="M23" s="18" t="s">
        <v>38</v>
      </c>
      <c r="N23" s="18" t="s">
        <v>38</v>
      </c>
      <c r="O23" s="18" t="s">
        <v>38</v>
      </c>
      <c r="P23" s="18" t="s">
        <v>38</v>
      </c>
      <c r="Q23" s="18" t="s">
        <v>38</v>
      </c>
      <c r="R23" s="18" t="str">
        <f t="shared" si="17"/>
        <v>WO</v>
      </c>
      <c r="S23" s="18" t="s">
        <v>38</v>
      </c>
      <c r="T23" s="18" t="s">
        <v>38</v>
      </c>
      <c r="U23" s="18" t="s">
        <v>38</v>
      </c>
      <c r="V23" s="18" t="s">
        <v>38</v>
      </c>
      <c r="W23" s="18" t="s">
        <v>40</v>
      </c>
      <c r="X23" s="18" t="s">
        <v>38</v>
      </c>
      <c r="Y23" s="18" t="str">
        <f t="shared" si="17"/>
        <v>WO</v>
      </c>
      <c r="Z23" s="18" t="s">
        <v>38</v>
      </c>
      <c r="AA23" s="18" t="s">
        <v>38</v>
      </c>
      <c r="AB23" s="18" t="s">
        <v>38</v>
      </c>
      <c r="AC23" s="18" t="s">
        <v>38</v>
      </c>
      <c r="AD23" s="18" t="s">
        <v>38</v>
      </c>
      <c r="AE23" s="18" t="s">
        <v>38</v>
      </c>
      <c r="AF23" s="18" t="str">
        <f t="shared" si="16"/>
        <v>WO</v>
      </c>
      <c r="AG23" s="18" t="s">
        <v>38</v>
      </c>
      <c r="AH23" s="18" t="s">
        <v>38</v>
      </c>
      <c r="AI23" s="18" t="s">
        <v>38</v>
      </c>
      <c r="AJ23" s="18" t="s">
        <v>38</v>
      </c>
      <c r="AK23" s="18" t="s">
        <v>40</v>
      </c>
      <c r="AL23" s="18" t="str">
        <f t="shared" si="16"/>
        <v/>
      </c>
      <c r="AM23" s="18" t="str">
        <f t="shared" si="16"/>
        <v/>
      </c>
      <c r="AN23" s="19" t="str">
        <f t="shared" si="16"/>
        <v/>
      </c>
      <c r="AO23" s="32"/>
      <c r="AP23" s="34"/>
      <c r="AQ23" s="9">
        <v>15</v>
      </c>
      <c r="AR23" s="9">
        <v>1015</v>
      </c>
      <c r="AS23" s="9" t="str">
        <f t="shared" si="8"/>
        <v>February</v>
      </c>
      <c r="AT23" s="15" t="s">
        <v>17</v>
      </c>
      <c r="AU23" s="28">
        <f t="shared" si="4"/>
        <v>22</v>
      </c>
      <c r="AV23">
        <f t="shared" si="5"/>
        <v>0</v>
      </c>
      <c r="AW23">
        <f t="shared" si="6"/>
        <v>2</v>
      </c>
      <c r="AX23">
        <f t="shared" si="9"/>
        <v>4</v>
      </c>
      <c r="AY23" s="29">
        <f t="shared" si="10"/>
        <v>28</v>
      </c>
      <c r="AZ23" s="29">
        <f t="shared" si="11"/>
        <v>28</v>
      </c>
      <c r="BA23" s="30">
        <f t="shared" ca="1" si="12"/>
        <v>46005</v>
      </c>
      <c r="BB23" s="30">
        <f t="shared" ca="1" si="13"/>
        <v>1643.0357142857142</v>
      </c>
      <c r="BC23" s="30">
        <f t="shared" ca="1" si="14"/>
        <v>0</v>
      </c>
      <c r="BD23" s="30">
        <f t="shared" ca="1" si="15"/>
        <v>46005</v>
      </c>
      <c r="BF23" s="34"/>
      <c r="BG23" s="31"/>
      <c r="BH23" s="31"/>
      <c r="BI23" s="31"/>
      <c r="BJ23" s="31"/>
    </row>
    <row r="24" spans="1:62" x14ac:dyDescent="0.3">
      <c r="C24" s="31"/>
      <c r="D24" s="31"/>
      <c r="E24" s="32"/>
      <c r="F24" s="8">
        <v>16</v>
      </c>
      <c r="G24" s="9">
        <v>1016</v>
      </c>
      <c r="H24" s="15" t="s">
        <v>18</v>
      </c>
      <c r="I24" s="17">
        <f t="shared" si="7"/>
        <v>4</v>
      </c>
      <c r="J24" s="18" t="s">
        <v>38</v>
      </c>
      <c r="K24" s="18" t="str">
        <f t="shared" si="17"/>
        <v>WO</v>
      </c>
      <c r="L24" s="18" t="s">
        <v>38</v>
      </c>
      <c r="M24" s="18" t="s">
        <v>38</v>
      </c>
      <c r="N24" s="18" t="s">
        <v>39</v>
      </c>
      <c r="O24" s="18" t="s">
        <v>38</v>
      </c>
      <c r="P24" s="18" t="s">
        <v>38</v>
      </c>
      <c r="Q24" s="18" t="s">
        <v>39</v>
      </c>
      <c r="R24" s="18" t="str">
        <f t="shared" si="17"/>
        <v>WO</v>
      </c>
      <c r="S24" s="18" t="s">
        <v>38</v>
      </c>
      <c r="T24" s="18" t="s">
        <v>38</v>
      </c>
      <c r="U24" s="18" t="s">
        <v>39</v>
      </c>
      <c r="V24" s="18" t="s">
        <v>38</v>
      </c>
      <c r="W24" s="18" t="s">
        <v>38</v>
      </c>
      <c r="X24" s="18" t="s">
        <v>38</v>
      </c>
      <c r="Y24" s="18" t="str">
        <f t="shared" si="17"/>
        <v>WO</v>
      </c>
      <c r="Z24" s="18" t="s">
        <v>38</v>
      </c>
      <c r="AA24" s="18" t="s">
        <v>38</v>
      </c>
      <c r="AB24" s="18" t="s">
        <v>39</v>
      </c>
      <c r="AC24" s="18" t="s">
        <v>38</v>
      </c>
      <c r="AD24" s="18" t="s">
        <v>38</v>
      </c>
      <c r="AE24" s="18" t="s">
        <v>39</v>
      </c>
      <c r="AF24" s="18" t="str">
        <f t="shared" si="16"/>
        <v>WO</v>
      </c>
      <c r="AG24" s="18" t="s">
        <v>38</v>
      </c>
      <c r="AH24" s="18" t="s">
        <v>38</v>
      </c>
      <c r="AI24" s="18" t="s">
        <v>39</v>
      </c>
      <c r="AJ24" s="18" t="s">
        <v>38</v>
      </c>
      <c r="AK24" s="18" t="s">
        <v>40</v>
      </c>
      <c r="AL24" s="18" t="str">
        <f t="shared" si="16"/>
        <v/>
      </c>
      <c r="AM24" s="18" t="str">
        <f t="shared" si="16"/>
        <v/>
      </c>
      <c r="AN24" s="19" t="str">
        <f t="shared" si="16"/>
        <v/>
      </c>
      <c r="AO24" s="32"/>
      <c r="AP24" s="34"/>
      <c r="AQ24" s="9">
        <v>16</v>
      </c>
      <c r="AR24" s="9">
        <v>1016</v>
      </c>
      <c r="AS24" s="9" t="str">
        <f t="shared" si="8"/>
        <v>February</v>
      </c>
      <c r="AT24" s="15" t="s">
        <v>18</v>
      </c>
      <c r="AU24" s="28">
        <f t="shared" si="4"/>
        <v>17</v>
      </c>
      <c r="AV24">
        <f t="shared" si="5"/>
        <v>6</v>
      </c>
      <c r="AW24">
        <f t="shared" si="6"/>
        <v>1</v>
      </c>
      <c r="AX24">
        <f t="shared" si="9"/>
        <v>4</v>
      </c>
      <c r="AY24" s="29">
        <f t="shared" si="10"/>
        <v>28</v>
      </c>
      <c r="AZ24" s="29">
        <f t="shared" si="11"/>
        <v>22</v>
      </c>
      <c r="BA24" s="30">
        <f t="shared" ca="1" si="12"/>
        <v>18133</v>
      </c>
      <c r="BB24" s="30">
        <f t="shared" ca="1" si="13"/>
        <v>824.22727272727275</v>
      </c>
      <c r="BC24" s="30">
        <f t="shared" ca="1" si="14"/>
        <v>4945.363636363636</v>
      </c>
      <c r="BD24" s="30">
        <f t="shared" ca="1" si="15"/>
        <v>13187.636363636364</v>
      </c>
      <c r="BF24" s="34"/>
      <c r="BG24" s="31"/>
      <c r="BH24" s="31"/>
      <c r="BI24" s="31"/>
      <c r="BJ24" s="31"/>
    </row>
    <row r="25" spans="1:62" x14ac:dyDescent="0.3">
      <c r="C25" s="31"/>
      <c r="D25" s="31"/>
      <c r="E25" s="32"/>
      <c r="F25" s="8">
        <v>17</v>
      </c>
      <c r="G25" s="9">
        <v>1017</v>
      </c>
      <c r="H25" s="15" t="s">
        <v>19</v>
      </c>
      <c r="I25" s="17">
        <f t="shared" si="7"/>
        <v>4</v>
      </c>
      <c r="J25" s="18" t="s">
        <v>38</v>
      </c>
      <c r="K25" s="18" t="str">
        <f t="shared" si="17"/>
        <v>WO</v>
      </c>
      <c r="L25" s="18" t="s">
        <v>39</v>
      </c>
      <c r="M25" s="18" t="s">
        <v>38</v>
      </c>
      <c r="N25" s="18" t="s">
        <v>38</v>
      </c>
      <c r="O25" s="18" t="s">
        <v>38</v>
      </c>
      <c r="P25" s="18" t="s">
        <v>38</v>
      </c>
      <c r="Q25" s="18" t="s">
        <v>38</v>
      </c>
      <c r="R25" s="18" t="str">
        <f t="shared" si="17"/>
        <v>WO</v>
      </c>
      <c r="S25" s="18" t="s">
        <v>39</v>
      </c>
      <c r="T25" s="18" t="s">
        <v>38</v>
      </c>
      <c r="U25" s="18" t="s">
        <v>38</v>
      </c>
      <c r="V25" s="18" t="s">
        <v>38</v>
      </c>
      <c r="W25" s="18" t="s">
        <v>38</v>
      </c>
      <c r="X25" s="18" t="s">
        <v>38</v>
      </c>
      <c r="Y25" s="18" t="str">
        <f t="shared" si="17"/>
        <v>WO</v>
      </c>
      <c r="Z25" s="18" t="s">
        <v>39</v>
      </c>
      <c r="AA25" s="18" t="s">
        <v>38</v>
      </c>
      <c r="AB25" s="18" t="s">
        <v>38</v>
      </c>
      <c r="AC25" s="18" t="s">
        <v>38</v>
      </c>
      <c r="AD25" s="18" t="s">
        <v>38</v>
      </c>
      <c r="AE25" s="18" t="s">
        <v>38</v>
      </c>
      <c r="AF25" s="18" t="str">
        <f t="shared" si="16"/>
        <v>WO</v>
      </c>
      <c r="AG25" s="18" t="s">
        <v>39</v>
      </c>
      <c r="AH25" s="18" t="s">
        <v>38</v>
      </c>
      <c r="AI25" s="18" t="s">
        <v>38</v>
      </c>
      <c r="AJ25" s="18" t="s">
        <v>38</v>
      </c>
      <c r="AK25" s="18" t="s">
        <v>40</v>
      </c>
      <c r="AL25" s="18" t="str">
        <f t="shared" si="16"/>
        <v/>
      </c>
      <c r="AM25" s="18" t="str">
        <f t="shared" si="16"/>
        <v/>
      </c>
      <c r="AN25" s="19" t="str">
        <f t="shared" si="16"/>
        <v/>
      </c>
      <c r="AO25" s="32"/>
      <c r="AP25" s="34"/>
      <c r="AQ25" s="9">
        <v>17</v>
      </c>
      <c r="AR25" s="9">
        <v>1017</v>
      </c>
      <c r="AS25" s="9" t="str">
        <f t="shared" si="8"/>
        <v>February</v>
      </c>
      <c r="AT25" s="15" t="s">
        <v>19</v>
      </c>
      <c r="AU25" s="28">
        <f t="shared" si="4"/>
        <v>19</v>
      </c>
      <c r="AV25">
        <f t="shared" si="5"/>
        <v>4</v>
      </c>
      <c r="AW25">
        <f t="shared" si="6"/>
        <v>1</v>
      </c>
      <c r="AX25">
        <f t="shared" si="9"/>
        <v>4</v>
      </c>
      <c r="AY25" s="29">
        <f t="shared" si="10"/>
        <v>28</v>
      </c>
      <c r="AZ25" s="29">
        <f t="shared" si="11"/>
        <v>24</v>
      </c>
      <c r="BA25" s="30">
        <f t="shared" ca="1" si="12"/>
        <v>24540</v>
      </c>
      <c r="BB25" s="30">
        <f t="shared" ca="1" si="13"/>
        <v>1022.5</v>
      </c>
      <c r="BC25" s="30">
        <f t="shared" ca="1" si="14"/>
        <v>4090</v>
      </c>
      <c r="BD25" s="30">
        <f t="shared" ca="1" si="15"/>
        <v>20450</v>
      </c>
      <c r="BF25" s="34"/>
      <c r="BG25" s="31"/>
      <c r="BH25" s="31"/>
      <c r="BI25" s="31"/>
      <c r="BJ25" s="31"/>
    </row>
    <row r="26" spans="1:62" x14ac:dyDescent="0.3">
      <c r="C26" s="31"/>
      <c r="D26" s="31"/>
      <c r="E26" s="32"/>
      <c r="F26" s="8">
        <v>18</v>
      </c>
      <c r="G26" s="9">
        <v>1018</v>
      </c>
      <c r="H26" s="15" t="s">
        <v>22</v>
      </c>
      <c r="I26" s="17">
        <f t="shared" si="7"/>
        <v>4</v>
      </c>
      <c r="J26" s="18" t="s">
        <v>38</v>
      </c>
      <c r="K26" s="18" t="str">
        <f t="shared" si="17"/>
        <v>WO</v>
      </c>
      <c r="L26" s="18" t="s">
        <v>38</v>
      </c>
      <c r="M26" s="18" t="s">
        <v>38</v>
      </c>
      <c r="N26" s="18" t="s">
        <v>38</v>
      </c>
      <c r="O26" s="18" t="s">
        <v>38</v>
      </c>
      <c r="P26" s="18" t="s">
        <v>38</v>
      </c>
      <c r="Q26" s="18" t="s">
        <v>38</v>
      </c>
      <c r="R26" s="18" t="str">
        <f t="shared" si="17"/>
        <v>WO</v>
      </c>
      <c r="S26" s="18" t="s">
        <v>38</v>
      </c>
      <c r="T26" s="18" t="s">
        <v>38</v>
      </c>
      <c r="U26" s="18" t="s">
        <v>38</v>
      </c>
      <c r="V26" s="18" t="s">
        <v>38</v>
      </c>
      <c r="W26" s="18" t="s">
        <v>38</v>
      </c>
      <c r="X26" s="18" t="s">
        <v>38</v>
      </c>
      <c r="Y26" s="18" t="str">
        <f t="shared" si="17"/>
        <v>WO</v>
      </c>
      <c r="Z26" s="18" t="s">
        <v>38</v>
      </c>
      <c r="AA26" s="18" t="s">
        <v>38</v>
      </c>
      <c r="AB26" s="18" t="s">
        <v>38</v>
      </c>
      <c r="AC26" s="18" t="s">
        <v>38</v>
      </c>
      <c r="AD26" s="18" t="s">
        <v>38</v>
      </c>
      <c r="AE26" s="18" t="s">
        <v>38</v>
      </c>
      <c r="AF26" s="18" t="str">
        <f t="shared" si="16"/>
        <v>WO</v>
      </c>
      <c r="AG26" s="18" t="s">
        <v>38</v>
      </c>
      <c r="AH26" s="18" t="s">
        <v>38</v>
      </c>
      <c r="AI26" s="18" t="s">
        <v>38</v>
      </c>
      <c r="AJ26" s="18" t="s">
        <v>38</v>
      </c>
      <c r="AK26" s="18" t="s">
        <v>40</v>
      </c>
      <c r="AL26" s="18" t="str">
        <f t="shared" si="16"/>
        <v/>
      </c>
      <c r="AM26" s="18" t="str">
        <f t="shared" si="16"/>
        <v/>
      </c>
      <c r="AN26" s="19" t="str">
        <f t="shared" si="16"/>
        <v/>
      </c>
      <c r="AO26" s="32"/>
      <c r="AP26" s="34"/>
      <c r="AQ26" s="9">
        <v>18</v>
      </c>
      <c r="AR26" s="9">
        <v>1018</v>
      </c>
      <c r="AS26" s="9" t="str">
        <f t="shared" si="8"/>
        <v>February</v>
      </c>
      <c r="AT26" s="15" t="s">
        <v>22</v>
      </c>
      <c r="AU26" s="28">
        <f t="shared" si="4"/>
        <v>23</v>
      </c>
      <c r="AV26">
        <f t="shared" si="5"/>
        <v>0</v>
      </c>
      <c r="AW26">
        <f t="shared" si="6"/>
        <v>1</v>
      </c>
      <c r="AX26">
        <f t="shared" si="9"/>
        <v>4</v>
      </c>
      <c r="AY26" s="29">
        <f t="shared" si="10"/>
        <v>28</v>
      </c>
      <c r="AZ26" s="29">
        <f t="shared" si="11"/>
        <v>28</v>
      </c>
      <c r="BA26" s="30">
        <f t="shared" ca="1" si="12"/>
        <v>44762</v>
      </c>
      <c r="BB26" s="30">
        <f t="shared" ca="1" si="13"/>
        <v>1598.6428571428571</v>
      </c>
      <c r="BC26" s="30">
        <f t="shared" ca="1" si="14"/>
        <v>0</v>
      </c>
      <c r="BD26" s="30">
        <f t="shared" ca="1" si="15"/>
        <v>44762</v>
      </c>
      <c r="BF26" s="34"/>
      <c r="BG26" s="31"/>
      <c r="BH26" s="31"/>
      <c r="BI26" s="31"/>
      <c r="BJ26" s="31"/>
    </row>
    <row r="27" spans="1:62" x14ac:dyDescent="0.3">
      <c r="C27" s="31"/>
      <c r="D27" s="31"/>
      <c r="E27" s="32"/>
      <c r="F27" s="8">
        <v>19</v>
      </c>
      <c r="G27" s="9">
        <v>1019</v>
      </c>
      <c r="H27" s="15" t="s">
        <v>20</v>
      </c>
      <c r="I27" s="17">
        <f t="shared" si="7"/>
        <v>4</v>
      </c>
      <c r="J27" s="18" t="s">
        <v>38</v>
      </c>
      <c r="K27" s="18" t="str">
        <f t="shared" si="17"/>
        <v>WO</v>
      </c>
      <c r="L27" s="18" t="s">
        <v>38</v>
      </c>
      <c r="M27" s="18" t="s">
        <v>39</v>
      </c>
      <c r="N27" s="18" t="s">
        <v>38</v>
      </c>
      <c r="O27" s="18" t="s">
        <v>38</v>
      </c>
      <c r="P27" s="18" t="s">
        <v>38</v>
      </c>
      <c r="Q27" s="18" t="s">
        <v>38</v>
      </c>
      <c r="R27" s="18" t="str">
        <f t="shared" si="17"/>
        <v>WO</v>
      </c>
      <c r="S27" s="18" t="s">
        <v>38</v>
      </c>
      <c r="T27" s="18" t="s">
        <v>39</v>
      </c>
      <c r="U27" s="18" t="s">
        <v>38</v>
      </c>
      <c r="V27" s="18" t="s">
        <v>38</v>
      </c>
      <c r="W27" s="18" t="s">
        <v>38</v>
      </c>
      <c r="X27" s="18" t="s">
        <v>38</v>
      </c>
      <c r="Y27" s="18" t="str">
        <f t="shared" si="17"/>
        <v>WO</v>
      </c>
      <c r="Z27" s="18" t="s">
        <v>38</v>
      </c>
      <c r="AA27" s="18" t="s">
        <v>39</v>
      </c>
      <c r="AB27" s="18" t="s">
        <v>38</v>
      </c>
      <c r="AC27" s="18" t="s">
        <v>38</v>
      </c>
      <c r="AD27" s="18" t="s">
        <v>38</v>
      </c>
      <c r="AE27" s="18" t="s">
        <v>38</v>
      </c>
      <c r="AF27" s="18" t="str">
        <f t="shared" si="16"/>
        <v>WO</v>
      </c>
      <c r="AG27" s="18" t="s">
        <v>38</v>
      </c>
      <c r="AH27" s="18" t="s">
        <v>39</v>
      </c>
      <c r="AI27" s="18" t="s">
        <v>38</v>
      </c>
      <c r="AJ27" s="18" t="s">
        <v>38</v>
      </c>
      <c r="AK27" s="18" t="s">
        <v>40</v>
      </c>
      <c r="AL27" s="18" t="str">
        <f t="shared" si="16"/>
        <v/>
      </c>
      <c r="AM27" s="18" t="str">
        <f t="shared" si="16"/>
        <v/>
      </c>
      <c r="AN27" s="19" t="str">
        <f t="shared" si="16"/>
        <v/>
      </c>
      <c r="AO27" s="32"/>
      <c r="AP27" s="34"/>
      <c r="AQ27" s="9">
        <v>19</v>
      </c>
      <c r="AR27" s="9">
        <v>1019</v>
      </c>
      <c r="AS27" s="9" t="str">
        <f t="shared" si="8"/>
        <v>February</v>
      </c>
      <c r="AT27" s="15" t="s">
        <v>20</v>
      </c>
      <c r="AU27" s="28">
        <f t="shared" si="4"/>
        <v>19</v>
      </c>
      <c r="AV27">
        <f t="shared" si="5"/>
        <v>4</v>
      </c>
      <c r="AW27">
        <f t="shared" si="6"/>
        <v>1</v>
      </c>
      <c r="AX27">
        <f t="shared" si="9"/>
        <v>4</v>
      </c>
      <c r="AY27" s="29">
        <f t="shared" si="10"/>
        <v>28</v>
      </c>
      <c r="AZ27" s="29">
        <f t="shared" si="11"/>
        <v>24</v>
      </c>
      <c r="BA27" s="30">
        <f t="shared" ca="1" si="12"/>
        <v>46952</v>
      </c>
      <c r="BB27" s="30">
        <f t="shared" ca="1" si="13"/>
        <v>1956.3333333333333</v>
      </c>
      <c r="BC27" s="30">
        <f t="shared" ca="1" si="14"/>
        <v>7825.333333333333</v>
      </c>
      <c r="BD27" s="30">
        <f t="shared" ca="1" si="15"/>
        <v>39126.666666666664</v>
      </c>
      <c r="BF27" s="34"/>
      <c r="BG27" s="31"/>
      <c r="BH27" s="31"/>
      <c r="BI27" s="31"/>
      <c r="BJ27" s="31"/>
    </row>
    <row r="28" spans="1:62" ht="15" thickBot="1" x14ac:dyDescent="0.35">
      <c r="C28" s="31"/>
      <c r="D28" s="31"/>
      <c r="E28" s="32"/>
      <c r="F28" s="10">
        <v>20</v>
      </c>
      <c r="G28" s="11">
        <v>1020</v>
      </c>
      <c r="H28" s="16" t="s">
        <v>21</v>
      </c>
      <c r="I28" s="20">
        <f t="shared" si="7"/>
        <v>4</v>
      </c>
      <c r="J28" s="21" t="s">
        <v>38</v>
      </c>
      <c r="K28" s="21" t="str">
        <f t="shared" si="17"/>
        <v>WO</v>
      </c>
      <c r="L28" s="21" t="s">
        <v>38</v>
      </c>
      <c r="M28" s="21" t="s">
        <v>38</v>
      </c>
      <c r="N28" s="21" t="s">
        <v>38</v>
      </c>
      <c r="O28" s="21" t="s">
        <v>39</v>
      </c>
      <c r="P28" s="21" t="s">
        <v>38</v>
      </c>
      <c r="Q28" s="21" t="s">
        <v>38</v>
      </c>
      <c r="R28" s="21" t="str">
        <f t="shared" si="17"/>
        <v>WO</v>
      </c>
      <c r="S28" s="21" t="s">
        <v>38</v>
      </c>
      <c r="T28" s="21" t="s">
        <v>38</v>
      </c>
      <c r="U28" s="21" t="s">
        <v>38</v>
      </c>
      <c r="V28" s="21" t="s">
        <v>39</v>
      </c>
      <c r="W28" s="21" t="s">
        <v>38</v>
      </c>
      <c r="X28" s="21" t="s">
        <v>38</v>
      </c>
      <c r="Y28" s="21" t="str">
        <f t="shared" si="17"/>
        <v>WO</v>
      </c>
      <c r="Z28" s="21" t="s">
        <v>38</v>
      </c>
      <c r="AA28" s="21" t="s">
        <v>38</v>
      </c>
      <c r="AB28" s="21" t="s">
        <v>38</v>
      </c>
      <c r="AC28" s="21" t="s">
        <v>39</v>
      </c>
      <c r="AD28" s="21" t="s">
        <v>40</v>
      </c>
      <c r="AE28" s="21" t="s">
        <v>38</v>
      </c>
      <c r="AF28" s="21" t="str">
        <f t="shared" si="16"/>
        <v>WO</v>
      </c>
      <c r="AG28" s="21" t="s">
        <v>38</v>
      </c>
      <c r="AH28" s="21" t="s">
        <v>38</v>
      </c>
      <c r="AI28" s="21" t="s">
        <v>38</v>
      </c>
      <c r="AJ28" s="21" t="s">
        <v>39</v>
      </c>
      <c r="AK28" s="21" t="s">
        <v>38</v>
      </c>
      <c r="AL28" s="21" t="str">
        <f t="shared" si="16"/>
        <v/>
      </c>
      <c r="AM28" s="21" t="str">
        <f t="shared" si="16"/>
        <v/>
      </c>
      <c r="AN28" s="22" t="str">
        <f t="shared" si="16"/>
        <v/>
      </c>
      <c r="AO28" s="32"/>
      <c r="AP28" s="34"/>
      <c r="AQ28" s="9">
        <v>20</v>
      </c>
      <c r="AR28" s="9">
        <v>1020</v>
      </c>
      <c r="AS28" s="9" t="str">
        <f t="shared" si="8"/>
        <v>February</v>
      </c>
      <c r="AT28" s="15" t="s">
        <v>21</v>
      </c>
      <c r="AU28" s="28">
        <f t="shared" si="4"/>
        <v>19</v>
      </c>
      <c r="AV28">
        <f t="shared" si="5"/>
        <v>4</v>
      </c>
      <c r="AW28">
        <f t="shared" si="6"/>
        <v>1</v>
      </c>
      <c r="AX28">
        <f t="shared" si="9"/>
        <v>4</v>
      </c>
      <c r="AY28" s="29">
        <f t="shared" si="10"/>
        <v>28</v>
      </c>
      <c r="AZ28" s="29">
        <f t="shared" si="11"/>
        <v>24</v>
      </c>
      <c r="BA28" s="30">
        <f t="shared" ca="1" si="12"/>
        <v>34682</v>
      </c>
      <c r="BB28" s="30">
        <f t="shared" ca="1" si="13"/>
        <v>1445.0833333333333</v>
      </c>
      <c r="BC28" s="30">
        <f t="shared" ca="1" si="14"/>
        <v>5780.333333333333</v>
      </c>
      <c r="BD28" s="30">
        <f t="shared" ca="1" si="15"/>
        <v>28901.666666666668</v>
      </c>
      <c r="BF28" s="34"/>
      <c r="BG28" s="31"/>
      <c r="BH28" s="31"/>
      <c r="BI28" s="31"/>
      <c r="BJ28" s="31"/>
    </row>
    <row r="29" spans="1:62" x14ac:dyDescent="0.3">
      <c r="A29" s="31"/>
      <c r="B29" s="31"/>
      <c r="C29" s="31"/>
      <c r="D29" s="31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1"/>
      <c r="BH29" s="31"/>
      <c r="BI29" s="31"/>
      <c r="BJ29" s="31"/>
    </row>
    <row r="30" spans="1:62" x14ac:dyDescent="0.3">
      <c r="A30" s="31"/>
      <c r="B30" s="31"/>
      <c r="C30" s="31"/>
      <c r="D30" s="31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1"/>
      <c r="BH30" s="31"/>
      <c r="BI30" s="31"/>
      <c r="BJ30" s="31"/>
    </row>
    <row r="31" spans="1:62" x14ac:dyDescent="0.3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</row>
    <row r="32" spans="1:62" x14ac:dyDescent="0.3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</row>
    <row r="33" spans="1:62" x14ac:dyDescent="0.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</row>
    <row r="34" spans="1:62" x14ac:dyDescent="0.3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</row>
    <row r="35" spans="1:62" x14ac:dyDescent="0.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</row>
    <row r="36" spans="1:62" x14ac:dyDescent="0.3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</row>
    <row r="37" spans="1:62" x14ac:dyDescent="0.3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</row>
    <row r="38" spans="1:62" x14ac:dyDescent="0.3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</row>
    <row r="39" spans="1:62" x14ac:dyDescent="0.3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</row>
    <row r="40" spans="1:62" x14ac:dyDescent="0.3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</row>
    <row r="41" spans="1:62" x14ac:dyDescent="0.3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</row>
    <row r="42" spans="1:62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</row>
    <row r="43" spans="1:62" x14ac:dyDescent="0.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</row>
    <row r="44" spans="1:62" x14ac:dyDescent="0.3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</row>
    <row r="45" spans="1:62" x14ac:dyDescent="0.3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</row>
    <row r="46" spans="1:62" x14ac:dyDescent="0.3">
      <c r="AO46" s="31"/>
      <c r="AP46" s="31"/>
      <c r="BF46" s="31"/>
      <c r="BG46" s="31"/>
      <c r="BH46" s="31"/>
      <c r="BI46" s="31"/>
      <c r="BJ46" s="31"/>
    </row>
    <row r="47" spans="1:62" x14ac:dyDescent="0.3">
      <c r="AO47" s="31"/>
      <c r="AP47" s="31"/>
      <c r="BF47" s="31"/>
      <c r="BG47" s="31"/>
      <c r="BH47" s="31"/>
      <c r="BI47" s="31"/>
      <c r="BJ47" s="31"/>
    </row>
    <row r="48" spans="1:62" x14ac:dyDescent="0.3">
      <c r="AO48" s="31"/>
      <c r="AP48" s="31"/>
      <c r="BF48" s="31"/>
      <c r="BG48" s="31"/>
      <c r="BH48" s="31"/>
      <c r="BI48" s="31"/>
      <c r="BJ48" s="31"/>
    </row>
    <row r="49" spans="41:62" x14ac:dyDescent="0.3">
      <c r="AO49" s="31"/>
      <c r="AP49" s="31"/>
      <c r="BF49" s="31"/>
      <c r="BG49" s="31"/>
      <c r="BH49" s="31"/>
      <c r="BI49" s="31"/>
      <c r="BJ49" s="31"/>
    </row>
  </sheetData>
  <conditionalFormatting sqref="J9:K28 R9:R28 Y9:Y28 AF9:AF28 AL9:AN28">
    <cfRule type="containsText" dxfId="360" priority="45" operator="containsText" text="L">
      <formula>NOT(ISERROR(SEARCH("L",J9)))</formula>
    </cfRule>
    <cfRule type="containsText" dxfId="359" priority="46" operator="containsText" text="A">
      <formula>NOT(ISERROR(SEARCH("A",J9)))</formula>
    </cfRule>
    <cfRule type="containsText" dxfId="358" priority="47" operator="containsText" text="P">
      <formula>NOT(ISERROR(SEARCH("P",J9)))</formula>
    </cfRule>
    <cfRule type="containsText" dxfId="357" priority="61" operator="containsText" text="P">
      <formula>NOT(ISERROR(SEARCH("P",J9)))</formula>
    </cfRule>
    <cfRule type="containsText" dxfId="356" priority="62" operator="containsText" text="L">
      <formula>NOT(ISERROR(SEARCH("L",J9)))</formula>
    </cfRule>
    <cfRule type="containsText" dxfId="355" priority="63" operator="containsText" text="A">
      <formula>NOT(ISERROR(SEARCH("A",J9)))</formula>
    </cfRule>
    <cfRule type="containsText" dxfId="354" priority="64" operator="containsText" text="P">
      <formula>NOT(ISERROR(SEARCH("P",J9)))</formula>
    </cfRule>
    <cfRule type="containsText" dxfId="353" priority="65" operator="containsText" text="WO">
      <formula>NOT(ISERROR(SEARCH("WO",J9)))</formula>
    </cfRule>
  </conditionalFormatting>
  <conditionalFormatting sqref="L9:Q28">
    <cfRule type="containsText" dxfId="352" priority="21" operator="containsText" text="L">
      <formula>NOT(ISERROR(SEARCH("L",L9)))</formula>
    </cfRule>
    <cfRule type="containsText" dxfId="351" priority="22" operator="containsText" text="A">
      <formula>NOT(ISERROR(SEARCH("A",L9)))</formula>
    </cfRule>
    <cfRule type="containsText" dxfId="350" priority="23" operator="containsText" text="P">
      <formula>NOT(ISERROR(SEARCH("P",L9)))</formula>
    </cfRule>
    <cfRule type="containsText" dxfId="349" priority="24" operator="containsText" text="WO">
      <formula>NOT(ISERROR(SEARCH("WO",L9)))</formula>
    </cfRule>
  </conditionalFormatting>
  <conditionalFormatting sqref="R9:R28 Y9:Y28 AF9:AF28 AL9:AN28 J9:K28">
    <cfRule type="containsText" dxfId="348" priority="57" operator="containsText" text="A">
      <formula>NOT(ISERROR(SEARCH("A",J9)))</formula>
    </cfRule>
  </conditionalFormatting>
  <conditionalFormatting sqref="R9:R28">
    <cfRule type="containsText" dxfId="347" priority="56" operator="containsText" text="P">
      <formula>NOT(ISERROR(SEARCH("P",R9)))</formula>
    </cfRule>
  </conditionalFormatting>
  <conditionalFormatting sqref="S9:X28">
    <cfRule type="containsText" dxfId="346" priority="13" operator="containsText" text="L">
      <formula>NOT(ISERROR(SEARCH("L",S9)))</formula>
    </cfRule>
    <cfRule type="containsText" dxfId="345" priority="14" operator="containsText" text="A">
      <formula>NOT(ISERROR(SEARCH("A",S9)))</formula>
    </cfRule>
    <cfRule type="containsText" dxfId="344" priority="15" operator="containsText" text="P">
      <formula>NOT(ISERROR(SEARCH("P",S9)))</formula>
    </cfRule>
    <cfRule type="containsText" dxfId="343" priority="16" operator="containsText" text="WO">
      <formula>NOT(ISERROR(SEARCH("WO",S9)))</formula>
    </cfRule>
  </conditionalFormatting>
  <conditionalFormatting sqref="Y9:Y28">
    <cfRule type="containsText" dxfId="342" priority="53" operator="containsText" text="P">
      <formula>NOT(ISERROR(SEARCH("P",Y9)))</formula>
    </cfRule>
  </conditionalFormatting>
  <conditionalFormatting sqref="Z9:AE28">
    <cfRule type="containsText" dxfId="341" priority="5" operator="containsText" text="L">
      <formula>NOT(ISERROR(SEARCH("L",Z9)))</formula>
    </cfRule>
    <cfRule type="containsText" dxfId="340" priority="6" operator="containsText" text="A">
      <formula>NOT(ISERROR(SEARCH("A",Z9)))</formula>
    </cfRule>
    <cfRule type="containsText" dxfId="339" priority="7" operator="containsText" text="P">
      <formula>NOT(ISERROR(SEARCH("P",Z9)))</formula>
    </cfRule>
    <cfRule type="containsText" dxfId="338" priority="8" operator="containsText" text="WO">
      <formula>NOT(ISERROR(SEARCH("WO",Z9)))</formula>
    </cfRule>
  </conditionalFormatting>
  <conditionalFormatting sqref="AF9:AF28">
    <cfRule type="containsText" dxfId="337" priority="51" operator="containsText" text="P">
      <formula>NOT(ISERROR(SEARCH("P",AF9)))</formula>
    </cfRule>
  </conditionalFormatting>
  <conditionalFormatting sqref="AG9:AK28">
    <cfRule type="containsText" dxfId="336" priority="1" operator="containsText" text="L">
      <formula>NOT(ISERROR(SEARCH("L",AG9)))</formula>
    </cfRule>
    <cfRule type="containsText" dxfId="335" priority="2" operator="containsText" text="A">
      <formula>NOT(ISERROR(SEARCH("A",AG9)))</formula>
    </cfRule>
    <cfRule type="containsText" dxfId="334" priority="3" operator="containsText" text="P">
      <formula>NOT(ISERROR(SEARCH("P",AG9)))</formula>
    </cfRule>
    <cfRule type="containsText" dxfId="333" priority="4" operator="containsText" text="WO">
      <formula>NOT(ISERROR(SEARCH("WO",AG9)))</formula>
    </cfRule>
  </conditionalFormatting>
  <conditionalFormatting sqref="AL9:AM28">
    <cfRule type="containsText" dxfId="332" priority="49" operator="containsText" text="P">
      <formula>NOT(ISERROR(SEARCH("P",AL9)))</formula>
    </cfRule>
  </conditionalFormatting>
  <dataValidations count="1">
    <dataValidation type="list" allowBlank="1" showInputMessage="1" showErrorMessage="1" sqref="F7:I28 J7:AN8 J9:J28 L9:Q28 S9:X28 Z9:AE28 AG9:AK28" xr:uid="{F6A363DE-E75C-4ADA-8901-9698DB1D3761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AA62902-EDC3-4312-8E17-25EAC1B04CCD}">
          <x14:formula1>
            <xm:f>Rough!$A$1:$A$12</xm:f>
          </x14:formula1>
          <xm:sqref>G5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621B8B95-AC60-4413-A274-DE57AFD40CB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February!AU9:AX9</xm:f>
              <xm:sqref>BE9</xm:sqref>
            </x14:sparkline>
            <x14:sparkline>
              <xm:f>February!AU10:AX10</xm:f>
              <xm:sqref>BE10</xm:sqref>
            </x14:sparkline>
            <x14:sparkline>
              <xm:f>February!AU11:AX11</xm:f>
              <xm:sqref>BE11</xm:sqref>
            </x14:sparkline>
            <x14:sparkline>
              <xm:f>February!AU12:AX12</xm:f>
              <xm:sqref>BE12</xm:sqref>
            </x14:sparkline>
            <x14:sparkline>
              <xm:f>February!AU13:AX13</xm:f>
              <xm:sqref>BE13</xm:sqref>
            </x14:sparkline>
            <x14:sparkline>
              <xm:f>February!AU14:AX14</xm:f>
              <xm:sqref>BE14</xm:sqref>
            </x14:sparkline>
            <x14:sparkline>
              <xm:f>February!AU15:AX15</xm:f>
              <xm:sqref>BE15</xm:sqref>
            </x14:sparkline>
            <x14:sparkline>
              <xm:f>February!AU16:AX16</xm:f>
              <xm:sqref>BE16</xm:sqref>
            </x14:sparkline>
            <x14:sparkline>
              <xm:f>February!AU17:AX17</xm:f>
              <xm:sqref>BE17</xm:sqref>
            </x14:sparkline>
            <x14:sparkline>
              <xm:f>February!AU18:AX18</xm:f>
              <xm:sqref>BE18</xm:sqref>
            </x14:sparkline>
            <x14:sparkline>
              <xm:f>February!AU19:AX19</xm:f>
              <xm:sqref>BE19</xm:sqref>
            </x14:sparkline>
            <x14:sparkline>
              <xm:f>February!AU20:AX20</xm:f>
              <xm:sqref>BE20</xm:sqref>
            </x14:sparkline>
            <x14:sparkline>
              <xm:f>February!AU21:AX21</xm:f>
              <xm:sqref>BE21</xm:sqref>
            </x14:sparkline>
            <x14:sparkline>
              <xm:f>February!AU22:AX22</xm:f>
              <xm:sqref>BE22</xm:sqref>
            </x14:sparkline>
            <x14:sparkline>
              <xm:f>February!AU23:AX23</xm:f>
              <xm:sqref>BE23</xm:sqref>
            </x14:sparkline>
            <x14:sparkline>
              <xm:f>February!AU24:AX24</xm:f>
              <xm:sqref>BE24</xm:sqref>
            </x14:sparkline>
            <x14:sparkline>
              <xm:f>February!AU25:AX25</xm:f>
              <xm:sqref>BE25</xm:sqref>
            </x14:sparkline>
            <x14:sparkline>
              <xm:f>February!AU26:AX26</xm:f>
              <xm:sqref>BE26</xm:sqref>
            </x14:sparkline>
            <x14:sparkline>
              <xm:f>February!AU27:AX27</xm:f>
              <xm:sqref>BE27</xm:sqref>
            </x14:sparkline>
            <x14:sparkline>
              <xm:f>February!AU28:AX28</xm:f>
              <xm:sqref>BE28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AE68A-9869-42EA-89B7-F73452E715B6}">
  <dimension ref="A1:BJ49"/>
  <sheetViews>
    <sheetView workbookViewId="0"/>
  </sheetViews>
  <sheetFormatPr defaultRowHeight="14.4" x14ac:dyDescent="0.3"/>
  <cols>
    <col min="6" max="6" width="6.33203125" bestFit="1" customWidth="1"/>
    <col min="7" max="7" width="14.33203125" bestFit="1" customWidth="1"/>
    <col min="8" max="8" width="18.77734375" bestFit="1" customWidth="1"/>
    <col min="9" max="9" width="10.5546875" bestFit="1" customWidth="1"/>
    <col min="10" max="10" width="5.5546875" customWidth="1"/>
    <col min="11" max="11" width="4" bestFit="1" customWidth="1"/>
    <col min="12" max="12" width="3.88671875" customWidth="1"/>
    <col min="13" max="13" width="3.5546875" bestFit="1" customWidth="1"/>
    <col min="14" max="14" width="3.88671875" bestFit="1" customWidth="1"/>
    <col min="15" max="15" width="4.77734375" bestFit="1" customWidth="1"/>
    <col min="16" max="16" width="4" bestFit="1" customWidth="1"/>
    <col min="17" max="17" width="4.77734375" bestFit="1" customWidth="1"/>
    <col min="18" max="18" width="4" bestFit="1" customWidth="1"/>
    <col min="19" max="19" width="3.44140625" customWidth="1"/>
    <col min="20" max="20" width="3.5546875" bestFit="1" customWidth="1"/>
    <col min="21" max="21" width="3.88671875" bestFit="1" customWidth="1"/>
    <col min="22" max="22" width="4.77734375" bestFit="1" customWidth="1"/>
    <col min="23" max="23" width="4" bestFit="1" customWidth="1"/>
    <col min="24" max="24" width="4.77734375" bestFit="1" customWidth="1"/>
    <col min="25" max="25" width="4" bestFit="1" customWidth="1"/>
    <col min="26" max="26" width="3.44140625" customWidth="1"/>
    <col min="27" max="27" width="3.5546875" bestFit="1" customWidth="1"/>
    <col min="28" max="28" width="3.88671875" bestFit="1" customWidth="1"/>
    <col min="29" max="29" width="4.77734375" bestFit="1" customWidth="1"/>
    <col min="30" max="30" width="4" bestFit="1" customWidth="1"/>
    <col min="31" max="31" width="4.77734375" bestFit="1" customWidth="1"/>
    <col min="32" max="32" width="4" bestFit="1" customWidth="1"/>
    <col min="33" max="33" width="4" customWidth="1"/>
    <col min="34" max="34" width="3.5546875" bestFit="1" customWidth="1"/>
    <col min="35" max="35" width="3.88671875" bestFit="1" customWidth="1"/>
    <col min="36" max="36" width="4.77734375" bestFit="1" customWidth="1"/>
    <col min="37" max="37" width="4" bestFit="1" customWidth="1"/>
    <col min="38" max="38" width="4.77734375" bestFit="1" customWidth="1"/>
    <col min="39" max="39" width="4" bestFit="1" customWidth="1"/>
    <col min="40" max="40" width="3.44140625" customWidth="1"/>
    <col min="44" max="44" width="16" customWidth="1"/>
    <col min="45" max="45" width="13.6640625" customWidth="1"/>
    <col min="46" max="46" width="20.33203125" customWidth="1"/>
    <col min="47" max="47" width="11" customWidth="1"/>
    <col min="48" max="48" width="10.33203125" customWidth="1"/>
    <col min="49" max="49" width="9.109375" customWidth="1"/>
    <col min="50" max="50" width="13" customWidth="1"/>
    <col min="51" max="51" width="8" customWidth="1"/>
    <col min="52" max="52" width="13.6640625" customWidth="1"/>
    <col min="53" max="53" width="11.5546875" bestFit="1" customWidth="1"/>
    <col min="54" max="54" width="17.77734375" customWidth="1"/>
    <col min="55" max="55" width="13.88671875" customWidth="1"/>
    <col min="56" max="56" width="15.21875" customWidth="1"/>
    <col min="57" max="57" width="12.77734375" customWidth="1"/>
  </cols>
  <sheetData>
    <row r="1" spans="1:62" x14ac:dyDescent="0.3">
      <c r="AP1" s="31"/>
      <c r="BF1" s="31"/>
      <c r="BG1" s="31"/>
      <c r="BH1" s="31"/>
      <c r="BI1" s="31"/>
      <c r="BJ1" s="31"/>
    </row>
    <row r="2" spans="1:62" x14ac:dyDescent="0.3">
      <c r="AP2" s="31"/>
      <c r="BF2" s="31"/>
      <c r="BG2" s="31"/>
      <c r="BH2" s="31"/>
      <c r="BI2" s="31"/>
      <c r="BJ2" s="31"/>
    </row>
    <row r="3" spans="1:62" x14ac:dyDescent="0.3">
      <c r="AP3" s="31"/>
      <c r="BF3" s="31"/>
      <c r="BG3" s="31"/>
      <c r="BH3" s="31"/>
      <c r="BI3" s="31"/>
      <c r="BJ3" s="31"/>
    </row>
    <row r="4" spans="1:62" x14ac:dyDescent="0.3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</row>
    <row r="5" spans="1:62" x14ac:dyDescent="0.3">
      <c r="A5" s="31"/>
      <c r="B5" s="31"/>
      <c r="C5" s="31"/>
      <c r="D5" s="31"/>
      <c r="E5" s="35" t="str">
        <f>TEXT(G5,"mmmm")</f>
        <v>March</v>
      </c>
      <c r="F5" s="35" t="s">
        <v>26</v>
      </c>
      <c r="G5" s="36">
        <v>45717</v>
      </c>
      <c r="H5" s="37">
        <f>(DATEDIF($G$5,$J$5,"D"))+1</f>
        <v>31</v>
      </c>
      <c r="I5" s="35" t="s">
        <v>27</v>
      </c>
      <c r="J5" s="36">
        <f>EOMONTH(G5,0)</f>
        <v>45747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</row>
    <row r="6" spans="1:62" ht="15" thickBot="1" x14ac:dyDescent="0.35">
      <c r="A6" s="31"/>
      <c r="B6" s="31"/>
      <c r="C6" s="31"/>
      <c r="D6" s="31"/>
      <c r="E6" s="32"/>
      <c r="F6" s="32"/>
      <c r="G6" s="32"/>
      <c r="H6" s="32"/>
      <c r="I6" s="32"/>
      <c r="J6" s="33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1"/>
      <c r="BH6" s="31"/>
      <c r="BI6" s="31"/>
      <c r="BJ6" s="31"/>
    </row>
    <row r="7" spans="1:62" ht="15" thickBot="1" x14ac:dyDescent="0.35">
      <c r="C7" s="31"/>
      <c r="D7" s="31"/>
      <c r="E7" s="32"/>
      <c r="F7" s="5"/>
      <c r="G7" s="6" t="s">
        <v>29</v>
      </c>
      <c r="H7" s="7"/>
      <c r="I7" s="5" t="s">
        <v>28</v>
      </c>
      <c r="J7" s="23" t="str">
        <f>TEXT(J8,"DDD")</f>
        <v>Sat</v>
      </c>
      <c r="K7" s="23" t="str">
        <f>TEXT(K8,"DDD")</f>
        <v>Sun</v>
      </c>
      <c r="L7" s="23" t="str">
        <f t="shared" ref="L7:AI7" si="0">TEXT(L8,"DDD")</f>
        <v>Mon</v>
      </c>
      <c r="M7" s="23" t="str">
        <f t="shared" si="0"/>
        <v>Tue</v>
      </c>
      <c r="N7" s="23" t="str">
        <f t="shared" si="0"/>
        <v>Wed</v>
      </c>
      <c r="O7" s="23" t="str">
        <f t="shared" si="0"/>
        <v>Thu</v>
      </c>
      <c r="P7" s="23" t="str">
        <f t="shared" si="0"/>
        <v>Fri</v>
      </c>
      <c r="Q7" s="23" t="str">
        <f t="shared" si="0"/>
        <v>Sat</v>
      </c>
      <c r="R7" s="23" t="str">
        <f t="shared" si="0"/>
        <v>Sun</v>
      </c>
      <c r="S7" s="23" t="str">
        <f t="shared" si="0"/>
        <v>Mon</v>
      </c>
      <c r="T7" s="23" t="str">
        <f t="shared" si="0"/>
        <v>Tue</v>
      </c>
      <c r="U7" s="23" t="str">
        <f t="shared" si="0"/>
        <v>Wed</v>
      </c>
      <c r="V7" s="23" t="str">
        <f t="shared" si="0"/>
        <v>Thu</v>
      </c>
      <c r="W7" s="23" t="str">
        <f t="shared" si="0"/>
        <v>Fri</v>
      </c>
      <c r="X7" s="23" t="str">
        <f t="shared" si="0"/>
        <v>Sat</v>
      </c>
      <c r="Y7" s="23" t="str">
        <f t="shared" si="0"/>
        <v>Sun</v>
      </c>
      <c r="Z7" s="23" t="str">
        <f t="shared" si="0"/>
        <v>Mon</v>
      </c>
      <c r="AA7" s="23" t="str">
        <f t="shared" si="0"/>
        <v>Tue</v>
      </c>
      <c r="AB7" s="23" t="str">
        <f t="shared" si="0"/>
        <v>Wed</v>
      </c>
      <c r="AC7" s="23" t="str">
        <f t="shared" si="0"/>
        <v>Thu</v>
      </c>
      <c r="AD7" s="23" t="str">
        <f t="shared" si="0"/>
        <v>Fri</v>
      </c>
      <c r="AE7" s="23" t="str">
        <f t="shared" si="0"/>
        <v>Sat</v>
      </c>
      <c r="AF7" s="23" t="str">
        <f t="shared" si="0"/>
        <v>Sun</v>
      </c>
      <c r="AG7" s="23" t="str">
        <f t="shared" si="0"/>
        <v>Mon</v>
      </c>
      <c r="AH7" s="23" t="str">
        <f t="shared" si="0"/>
        <v>Tue</v>
      </c>
      <c r="AI7" s="23" t="str">
        <f t="shared" si="0"/>
        <v>Wed</v>
      </c>
      <c r="AJ7" s="23" t="str">
        <f>TEXT(AJ8,"DDD")</f>
        <v>Thu</v>
      </c>
      <c r="AK7" s="23" t="str">
        <f>TEXT(AK8,"DDD")</f>
        <v>Fri</v>
      </c>
      <c r="AL7" s="23" t="str">
        <f t="shared" ref="AL7:AN7" si="1">TEXT(AL8,"DDD")</f>
        <v>Sat</v>
      </c>
      <c r="AM7" s="23" t="str">
        <f t="shared" si="1"/>
        <v>Sun</v>
      </c>
      <c r="AN7" s="24" t="str">
        <f t="shared" si="1"/>
        <v>Mon</v>
      </c>
      <c r="AO7" s="32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1"/>
      <c r="BH7" s="31"/>
      <c r="BI7" s="31"/>
      <c r="BJ7" s="31"/>
    </row>
    <row r="8" spans="1:62" ht="18.600000000000001" thickBot="1" x14ac:dyDescent="0.4">
      <c r="C8" s="31"/>
      <c r="D8" s="31"/>
      <c r="E8" s="32"/>
      <c r="F8" s="12" t="s">
        <v>23</v>
      </c>
      <c r="G8" s="13" t="s">
        <v>2</v>
      </c>
      <c r="H8" s="14" t="s">
        <v>24</v>
      </c>
      <c r="I8" s="25" t="s">
        <v>25</v>
      </c>
      <c r="J8" s="26">
        <f>G5</f>
        <v>45717</v>
      </c>
      <c r="K8" s="26">
        <f>IF(J8&lt;$J$5,J8+1,"")</f>
        <v>45718</v>
      </c>
      <c r="L8" s="26">
        <f t="shared" ref="L8:AN8" si="2">IF(K8&lt;$J$5,K8+1,"")</f>
        <v>45719</v>
      </c>
      <c r="M8" s="26">
        <f t="shared" si="2"/>
        <v>45720</v>
      </c>
      <c r="N8" s="26">
        <f t="shared" si="2"/>
        <v>45721</v>
      </c>
      <c r="O8" s="26">
        <f t="shared" si="2"/>
        <v>45722</v>
      </c>
      <c r="P8" s="26">
        <f t="shared" si="2"/>
        <v>45723</v>
      </c>
      <c r="Q8" s="26">
        <f t="shared" si="2"/>
        <v>45724</v>
      </c>
      <c r="R8" s="26">
        <f t="shared" si="2"/>
        <v>45725</v>
      </c>
      <c r="S8" s="26">
        <f t="shared" si="2"/>
        <v>45726</v>
      </c>
      <c r="T8" s="26">
        <f t="shared" si="2"/>
        <v>45727</v>
      </c>
      <c r="U8" s="26">
        <f t="shared" si="2"/>
        <v>45728</v>
      </c>
      <c r="V8" s="26">
        <f t="shared" si="2"/>
        <v>45729</v>
      </c>
      <c r="W8" s="26">
        <f t="shared" si="2"/>
        <v>45730</v>
      </c>
      <c r="X8" s="26">
        <f t="shared" si="2"/>
        <v>45731</v>
      </c>
      <c r="Y8" s="26">
        <f t="shared" si="2"/>
        <v>45732</v>
      </c>
      <c r="Z8" s="26">
        <f t="shared" si="2"/>
        <v>45733</v>
      </c>
      <c r="AA8" s="26">
        <f t="shared" si="2"/>
        <v>45734</v>
      </c>
      <c r="AB8" s="26">
        <f t="shared" si="2"/>
        <v>45735</v>
      </c>
      <c r="AC8" s="26">
        <f t="shared" si="2"/>
        <v>45736</v>
      </c>
      <c r="AD8" s="26">
        <f t="shared" si="2"/>
        <v>45737</v>
      </c>
      <c r="AE8" s="26">
        <f t="shared" si="2"/>
        <v>45738</v>
      </c>
      <c r="AF8" s="26">
        <f t="shared" si="2"/>
        <v>45739</v>
      </c>
      <c r="AG8" s="26">
        <f t="shared" si="2"/>
        <v>45740</v>
      </c>
      <c r="AH8" s="26">
        <f t="shared" si="2"/>
        <v>45741</v>
      </c>
      <c r="AI8" s="26">
        <f t="shared" si="2"/>
        <v>45742</v>
      </c>
      <c r="AJ8" s="26">
        <f t="shared" si="2"/>
        <v>45743</v>
      </c>
      <c r="AK8" s="26">
        <f t="shared" si="2"/>
        <v>45744</v>
      </c>
      <c r="AL8" s="26">
        <f t="shared" si="2"/>
        <v>45745</v>
      </c>
      <c r="AM8" s="26">
        <f t="shared" si="2"/>
        <v>45746</v>
      </c>
      <c r="AN8" s="27">
        <f t="shared" si="2"/>
        <v>45747</v>
      </c>
      <c r="AO8" s="32"/>
      <c r="AP8" s="34"/>
      <c r="AQ8" s="38" t="s">
        <v>23</v>
      </c>
      <c r="AR8" s="38" t="s">
        <v>2</v>
      </c>
      <c r="AS8" s="38" t="s">
        <v>42</v>
      </c>
      <c r="AT8" s="39" t="s">
        <v>24</v>
      </c>
      <c r="AU8" s="40" t="s">
        <v>30</v>
      </c>
      <c r="AV8" s="38" t="s">
        <v>31</v>
      </c>
      <c r="AW8" s="38" t="s">
        <v>32</v>
      </c>
      <c r="AX8" s="38" t="s">
        <v>25</v>
      </c>
      <c r="AY8" s="38" t="s">
        <v>28</v>
      </c>
      <c r="AZ8" s="38" t="s">
        <v>33</v>
      </c>
      <c r="BA8" s="38" t="s">
        <v>34</v>
      </c>
      <c r="BB8" s="38" t="s">
        <v>35</v>
      </c>
      <c r="BC8" s="40" t="s">
        <v>36</v>
      </c>
      <c r="BD8" s="38" t="s">
        <v>37</v>
      </c>
      <c r="BE8" s="38" t="s">
        <v>41</v>
      </c>
      <c r="BF8" s="34"/>
      <c r="BG8" s="31"/>
      <c r="BH8" s="31"/>
      <c r="BI8" s="31"/>
      <c r="BJ8" s="31"/>
    </row>
    <row r="9" spans="1:62" x14ac:dyDescent="0.3">
      <c r="C9" s="31"/>
      <c r="D9" s="31"/>
      <c r="E9" s="32"/>
      <c r="F9" s="8">
        <v>1</v>
      </c>
      <c r="G9" s="9">
        <v>1001</v>
      </c>
      <c r="H9" s="15" t="s">
        <v>3</v>
      </c>
      <c r="I9" s="17">
        <f>COUNTIF($J$7:$AN$7,"Sun")</f>
        <v>5</v>
      </c>
      <c r="J9" s="18" t="s">
        <v>38</v>
      </c>
      <c r="K9" s="18" t="str">
        <f t="shared" ref="K9:AM17" si="3">IF(K$7="Sun","WO","")</f>
        <v>WO</v>
      </c>
      <c r="L9" s="18" t="s">
        <v>38</v>
      </c>
      <c r="M9" s="18" t="s">
        <v>38</v>
      </c>
      <c r="N9" s="18" t="s">
        <v>40</v>
      </c>
      <c r="O9" s="18" t="s">
        <v>38</v>
      </c>
      <c r="P9" s="18" t="s">
        <v>38</v>
      </c>
      <c r="Q9" s="18" t="s">
        <v>38</v>
      </c>
      <c r="R9" s="18" t="str">
        <f t="shared" si="3"/>
        <v>WO</v>
      </c>
      <c r="S9" s="18" t="s">
        <v>38</v>
      </c>
      <c r="T9" s="18" t="s">
        <v>38</v>
      </c>
      <c r="U9" s="18" t="s">
        <v>38</v>
      </c>
      <c r="V9" s="18" t="s">
        <v>38</v>
      </c>
      <c r="W9" s="18" t="s">
        <v>38</v>
      </c>
      <c r="X9" s="18" t="s">
        <v>38</v>
      </c>
      <c r="Y9" s="18" t="str">
        <f t="shared" si="3"/>
        <v>WO</v>
      </c>
      <c r="Z9" s="18" t="s">
        <v>38</v>
      </c>
      <c r="AA9" s="18" t="s">
        <v>38</v>
      </c>
      <c r="AB9" s="18" t="s">
        <v>38</v>
      </c>
      <c r="AC9" s="18" t="s">
        <v>38</v>
      </c>
      <c r="AD9" s="18" t="s">
        <v>38</v>
      </c>
      <c r="AE9" s="18" t="s">
        <v>38</v>
      </c>
      <c r="AF9" s="18" t="str">
        <f t="shared" si="3"/>
        <v>WO</v>
      </c>
      <c r="AG9" s="18" t="s">
        <v>38</v>
      </c>
      <c r="AH9" s="18" t="s">
        <v>38</v>
      </c>
      <c r="AI9" s="18" t="s">
        <v>38</v>
      </c>
      <c r="AJ9" s="18" t="s">
        <v>38</v>
      </c>
      <c r="AK9" s="18" t="s">
        <v>38</v>
      </c>
      <c r="AL9" s="18" t="s">
        <v>38</v>
      </c>
      <c r="AM9" s="18" t="str">
        <f t="shared" si="3"/>
        <v>WO</v>
      </c>
      <c r="AN9" s="19" t="s">
        <v>38</v>
      </c>
      <c r="AO9" s="32"/>
      <c r="AP9" s="34"/>
      <c r="AQ9" s="9">
        <v>1</v>
      </c>
      <c r="AR9" s="9">
        <v>1001</v>
      </c>
      <c r="AS9" s="9" t="str">
        <f>$E$5</f>
        <v>March</v>
      </c>
      <c r="AT9" s="15" t="s">
        <v>3</v>
      </c>
      <c r="AU9" s="28">
        <f t="shared" ref="AU9:AU28" si="4">COUNTIF($J9:$AN9,"P")</f>
        <v>25</v>
      </c>
      <c r="AV9">
        <f t="shared" ref="AV9:AV28" si="5">COUNTIF($J9:$AN9,"A")</f>
        <v>0</v>
      </c>
      <c r="AW9">
        <f t="shared" ref="AW9:AW28" si="6">COUNTIF($J9:$AN9,"L")</f>
        <v>1</v>
      </c>
      <c r="AX9">
        <f>$I$9</f>
        <v>5</v>
      </c>
      <c r="AY9" s="29">
        <f>$H$5</f>
        <v>31</v>
      </c>
      <c r="AZ9" s="29">
        <f>AY9-AV9</f>
        <v>31</v>
      </c>
      <c r="BA9" s="30">
        <f ca="1">RANDBETWEEN(10000,50000)</f>
        <v>49595</v>
      </c>
      <c r="BB9" s="30">
        <f ca="1">BA9/AZ9</f>
        <v>1599.8387096774193</v>
      </c>
      <c r="BC9" s="30">
        <f ca="1">BB9*AV9</f>
        <v>0</v>
      </c>
      <c r="BD9" s="30">
        <f ca="1">BA9-BC9</f>
        <v>49595</v>
      </c>
      <c r="BF9" s="34"/>
      <c r="BG9" s="31"/>
      <c r="BH9" s="31"/>
      <c r="BI9" s="31"/>
      <c r="BJ9" s="31"/>
    </row>
    <row r="10" spans="1:62" x14ac:dyDescent="0.3">
      <c r="C10" s="31"/>
      <c r="D10" s="31"/>
      <c r="E10" s="32"/>
      <c r="F10" s="8">
        <v>2</v>
      </c>
      <c r="G10" s="9">
        <v>1002</v>
      </c>
      <c r="H10" s="15" t="s">
        <v>4</v>
      </c>
      <c r="I10" s="17">
        <f t="shared" ref="I10:I28" si="7">COUNTIF($J$7:$AN$7,"Sun")</f>
        <v>5</v>
      </c>
      <c r="J10" s="18" t="s">
        <v>39</v>
      </c>
      <c r="K10" s="18" t="str">
        <f t="shared" si="3"/>
        <v>WO</v>
      </c>
      <c r="L10" s="18" t="s">
        <v>38</v>
      </c>
      <c r="M10" s="18" t="s">
        <v>38</v>
      </c>
      <c r="N10" s="18" t="s">
        <v>40</v>
      </c>
      <c r="O10" s="18" t="s">
        <v>38</v>
      </c>
      <c r="P10" s="18" t="s">
        <v>39</v>
      </c>
      <c r="Q10" s="18" t="s">
        <v>39</v>
      </c>
      <c r="R10" s="18" t="str">
        <f t="shared" si="3"/>
        <v>WO</v>
      </c>
      <c r="S10" s="18" t="s">
        <v>38</v>
      </c>
      <c r="T10" s="18" t="s">
        <v>38</v>
      </c>
      <c r="U10" s="18" t="s">
        <v>39</v>
      </c>
      <c r="V10" s="18" t="s">
        <v>38</v>
      </c>
      <c r="W10" s="18" t="s">
        <v>39</v>
      </c>
      <c r="X10" s="18" t="s">
        <v>39</v>
      </c>
      <c r="Y10" s="18" t="str">
        <f t="shared" si="3"/>
        <v>WO</v>
      </c>
      <c r="Z10" s="18" t="s">
        <v>38</v>
      </c>
      <c r="AA10" s="18" t="s">
        <v>38</v>
      </c>
      <c r="AB10" s="18" t="s">
        <v>39</v>
      </c>
      <c r="AC10" s="18" t="s">
        <v>38</v>
      </c>
      <c r="AD10" s="18" t="s">
        <v>39</v>
      </c>
      <c r="AE10" s="18" t="s">
        <v>38</v>
      </c>
      <c r="AF10" s="18" t="str">
        <f t="shared" si="3"/>
        <v>WO</v>
      </c>
      <c r="AG10" s="18" t="s">
        <v>38</v>
      </c>
      <c r="AH10" s="18" t="s">
        <v>38</v>
      </c>
      <c r="AI10" s="18" t="s">
        <v>40</v>
      </c>
      <c r="AJ10" s="18" t="s">
        <v>38</v>
      </c>
      <c r="AK10" s="18" t="s">
        <v>39</v>
      </c>
      <c r="AL10" s="18" t="s">
        <v>38</v>
      </c>
      <c r="AM10" s="18" t="str">
        <f t="shared" si="3"/>
        <v>WO</v>
      </c>
      <c r="AN10" s="19" t="s">
        <v>38</v>
      </c>
      <c r="AO10" s="32"/>
      <c r="AP10" s="34"/>
      <c r="AQ10" s="9">
        <v>2</v>
      </c>
      <c r="AR10" s="9">
        <v>1002</v>
      </c>
      <c r="AS10" s="9" t="str">
        <f t="shared" ref="AS10:AS28" si="8">$E$5</f>
        <v>March</v>
      </c>
      <c r="AT10" s="15" t="s">
        <v>4</v>
      </c>
      <c r="AU10" s="28">
        <f t="shared" si="4"/>
        <v>15</v>
      </c>
      <c r="AV10">
        <f t="shared" si="5"/>
        <v>9</v>
      </c>
      <c r="AW10">
        <f t="shared" si="6"/>
        <v>2</v>
      </c>
      <c r="AX10">
        <f t="shared" ref="AX10:AX28" si="9">$I$9</f>
        <v>5</v>
      </c>
      <c r="AY10" s="29">
        <f t="shared" ref="AY10:AY28" si="10">$H$5</f>
        <v>31</v>
      </c>
      <c r="AZ10" s="29">
        <f t="shared" ref="AZ10:AZ28" si="11">AY10-AV10</f>
        <v>22</v>
      </c>
      <c r="BA10" s="30">
        <f t="shared" ref="BA10:BA28" ca="1" si="12">RANDBETWEEN(10000,50000)</f>
        <v>33818</v>
      </c>
      <c r="BB10" s="30">
        <f t="shared" ref="BB10:BB28" ca="1" si="13">BA10/AZ10</f>
        <v>1537.1818181818182</v>
      </c>
      <c r="BC10" s="30">
        <f t="shared" ref="BC10:BC28" ca="1" si="14">BB10*AV10</f>
        <v>13834.636363636364</v>
      </c>
      <c r="BD10" s="30">
        <f t="shared" ref="BD10:BD28" ca="1" si="15">BA10-BC10</f>
        <v>19983.363636363636</v>
      </c>
      <c r="BF10" s="34"/>
      <c r="BG10" s="31"/>
      <c r="BH10" s="31"/>
      <c r="BI10" s="31"/>
      <c r="BJ10" s="31"/>
    </row>
    <row r="11" spans="1:62" x14ac:dyDescent="0.3">
      <c r="C11" s="31"/>
      <c r="D11" s="31"/>
      <c r="E11" s="32"/>
      <c r="F11" s="8">
        <v>3</v>
      </c>
      <c r="G11" s="9">
        <v>1003</v>
      </c>
      <c r="H11" s="15" t="s">
        <v>5</v>
      </c>
      <c r="I11" s="17">
        <f t="shared" si="7"/>
        <v>5</v>
      </c>
      <c r="J11" s="18" t="s">
        <v>38</v>
      </c>
      <c r="K11" s="18" t="str">
        <f t="shared" si="3"/>
        <v>WO</v>
      </c>
      <c r="L11" s="18" t="s">
        <v>38</v>
      </c>
      <c r="M11" s="18" t="s">
        <v>39</v>
      </c>
      <c r="N11" s="18" t="s">
        <v>40</v>
      </c>
      <c r="O11" s="18" t="s">
        <v>38</v>
      </c>
      <c r="P11" s="18" t="s">
        <v>38</v>
      </c>
      <c r="Q11" s="18" t="s">
        <v>38</v>
      </c>
      <c r="R11" s="18" t="str">
        <f t="shared" si="3"/>
        <v>WO</v>
      </c>
      <c r="S11" s="18" t="s">
        <v>38</v>
      </c>
      <c r="T11" s="18" t="s">
        <v>39</v>
      </c>
      <c r="U11" s="18" t="s">
        <v>38</v>
      </c>
      <c r="V11" s="18" t="s">
        <v>38</v>
      </c>
      <c r="W11" s="18" t="s">
        <v>38</v>
      </c>
      <c r="X11" s="18" t="s">
        <v>38</v>
      </c>
      <c r="Y11" s="18" t="str">
        <f t="shared" si="3"/>
        <v>WO</v>
      </c>
      <c r="Z11" s="18" t="s">
        <v>38</v>
      </c>
      <c r="AA11" s="18" t="s">
        <v>39</v>
      </c>
      <c r="AB11" s="18" t="s">
        <v>38</v>
      </c>
      <c r="AC11" s="18" t="s">
        <v>38</v>
      </c>
      <c r="AD11" s="18" t="s">
        <v>38</v>
      </c>
      <c r="AE11" s="18" t="s">
        <v>38</v>
      </c>
      <c r="AF11" s="18" t="str">
        <f t="shared" si="3"/>
        <v>WO</v>
      </c>
      <c r="AG11" s="18" t="s">
        <v>38</v>
      </c>
      <c r="AH11" s="18" t="s">
        <v>40</v>
      </c>
      <c r="AI11" s="18" t="s">
        <v>38</v>
      </c>
      <c r="AJ11" s="18" t="s">
        <v>38</v>
      </c>
      <c r="AK11" s="18" t="s">
        <v>38</v>
      </c>
      <c r="AL11" s="18" t="s">
        <v>38</v>
      </c>
      <c r="AM11" s="18" t="str">
        <f t="shared" si="3"/>
        <v>WO</v>
      </c>
      <c r="AN11" s="19" t="s">
        <v>38</v>
      </c>
      <c r="AO11" s="32"/>
      <c r="AP11" s="34"/>
      <c r="AQ11" s="9">
        <v>3</v>
      </c>
      <c r="AR11" s="9">
        <v>1003</v>
      </c>
      <c r="AS11" s="9" t="str">
        <f t="shared" si="8"/>
        <v>March</v>
      </c>
      <c r="AT11" s="15" t="s">
        <v>5</v>
      </c>
      <c r="AU11" s="28">
        <f t="shared" si="4"/>
        <v>21</v>
      </c>
      <c r="AV11">
        <f t="shared" si="5"/>
        <v>3</v>
      </c>
      <c r="AW11">
        <f t="shared" si="6"/>
        <v>2</v>
      </c>
      <c r="AX11">
        <f t="shared" si="9"/>
        <v>5</v>
      </c>
      <c r="AY11" s="29">
        <f t="shared" si="10"/>
        <v>31</v>
      </c>
      <c r="AZ11" s="29">
        <f t="shared" si="11"/>
        <v>28</v>
      </c>
      <c r="BA11" s="30">
        <f t="shared" ca="1" si="12"/>
        <v>15960</v>
      </c>
      <c r="BB11" s="30">
        <f t="shared" ca="1" si="13"/>
        <v>570</v>
      </c>
      <c r="BC11" s="30">
        <f t="shared" ca="1" si="14"/>
        <v>1710</v>
      </c>
      <c r="BD11" s="30">
        <f t="shared" ca="1" si="15"/>
        <v>14250</v>
      </c>
      <c r="BF11" s="34"/>
      <c r="BG11" s="31"/>
      <c r="BH11" s="31"/>
      <c r="BI11" s="31"/>
      <c r="BJ11" s="31"/>
    </row>
    <row r="12" spans="1:62" x14ac:dyDescent="0.3">
      <c r="C12" s="31"/>
      <c r="D12" s="31"/>
      <c r="E12" s="32"/>
      <c r="F12" s="8">
        <v>4</v>
      </c>
      <c r="G12" s="9">
        <v>1004</v>
      </c>
      <c r="H12" s="15" t="s">
        <v>6</v>
      </c>
      <c r="I12" s="17">
        <f t="shared" si="7"/>
        <v>5</v>
      </c>
      <c r="J12" s="18" t="s">
        <v>38</v>
      </c>
      <c r="K12" s="18" t="str">
        <f t="shared" si="3"/>
        <v>WO</v>
      </c>
      <c r="L12" s="18" t="s">
        <v>38</v>
      </c>
      <c r="M12" s="18" t="s">
        <v>39</v>
      </c>
      <c r="N12" s="18" t="s">
        <v>40</v>
      </c>
      <c r="O12" s="18" t="s">
        <v>38</v>
      </c>
      <c r="P12" s="18" t="s">
        <v>38</v>
      </c>
      <c r="Q12" s="18" t="s">
        <v>38</v>
      </c>
      <c r="R12" s="18" t="str">
        <f t="shared" si="3"/>
        <v>WO</v>
      </c>
      <c r="S12" s="18" t="s">
        <v>38</v>
      </c>
      <c r="T12" s="18" t="s">
        <v>39</v>
      </c>
      <c r="U12" s="18" t="s">
        <v>38</v>
      </c>
      <c r="V12" s="18" t="s">
        <v>38</v>
      </c>
      <c r="W12" s="18" t="s">
        <v>38</v>
      </c>
      <c r="X12" s="18" t="s">
        <v>38</v>
      </c>
      <c r="Y12" s="18" t="str">
        <f t="shared" si="3"/>
        <v>WO</v>
      </c>
      <c r="Z12" s="18" t="s">
        <v>38</v>
      </c>
      <c r="AA12" s="18" t="s">
        <v>39</v>
      </c>
      <c r="AB12" s="18" t="s">
        <v>38</v>
      </c>
      <c r="AC12" s="18" t="s">
        <v>38</v>
      </c>
      <c r="AD12" s="18" t="s">
        <v>38</v>
      </c>
      <c r="AE12" s="18" t="s">
        <v>38</v>
      </c>
      <c r="AF12" s="18" t="str">
        <f t="shared" si="3"/>
        <v>WO</v>
      </c>
      <c r="AG12" s="18" t="s">
        <v>38</v>
      </c>
      <c r="AH12" s="18" t="s">
        <v>39</v>
      </c>
      <c r="AI12" s="18" t="s">
        <v>40</v>
      </c>
      <c r="AJ12" s="18" t="s">
        <v>38</v>
      </c>
      <c r="AK12" s="18" t="s">
        <v>38</v>
      </c>
      <c r="AL12" s="18" t="s">
        <v>38</v>
      </c>
      <c r="AM12" s="18" t="str">
        <f t="shared" si="3"/>
        <v>WO</v>
      </c>
      <c r="AN12" s="19" t="s">
        <v>38</v>
      </c>
      <c r="AO12" s="32"/>
      <c r="AP12" s="34"/>
      <c r="AQ12" s="9">
        <v>4</v>
      </c>
      <c r="AR12" s="9">
        <v>1004</v>
      </c>
      <c r="AS12" s="9" t="str">
        <f t="shared" si="8"/>
        <v>March</v>
      </c>
      <c r="AT12" s="15" t="s">
        <v>6</v>
      </c>
      <c r="AU12" s="28">
        <f t="shared" si="4"/>
        <v>20</v>
      </c>
      <c r="AV12">
        <f t="shared" si="5"/>
        <v>4</v>
      </c>
      <c r="AW12">
        <f t="shared" si="6"/>
        <v>2</v>
      </c>
      <c r="AX12">
        <f t="shared" si="9"/>
        <v>5</v>
      </c>
      <c r="AY12" s="29">
        <f t="shared" si="10"/>
        <v>31</v>
      </c>
      <c r="AZ12" s="29">
        <f t="shared" si="11"/>
        <v>27</v>
      </c>
      <c r="BA12" s="30">
        <f t="shared" ca="1" si="12"/>
        <v>46640</v>
      </c>
      <c r="BB12" s="30">
        <f t="shared" ca="1" si="13"/>
        <v>1727.4074074074074</v>
      </c>
      <c r="BC12" s="30">
        <f t="shared" ca="1" si="14"/>
        <v>6909.6296296296296</v>
      </c>
      <c r="BD12" s="30">
        <f t="shared" ca="1" si="15"/>
        <v>39730.370370370372</v>
      </c>
      <c r="BF12" s="34"/>
      <c r="BG12" s="31"/>
      <c r="BH12" s="31"/>
      <c r="BI12" s="31"/>
      <c r="BJ12" s="31"/>
    </row>
    <row r="13" spans="1:62" x14ac:dyDescent="0.3">
      <c r="C13" s="31"/>
      <c r="D13" s="31"/>
      <c r="E13" s="32"/>
      <c r="F13" s="8">
        <v>5</v>
      </c>
      <c r="G13" s="9">
        <v>1005</v>
      </c>
      <c r="H13" s="15" t="s">
        <v>7</v>
      </c>
      <c r="I13" s="17">
        <f t="shared" si="7"/>
        <v>5</v>
      </c>
      <c r="J13" s="18" t="s">
        <v>39</v>
      </c>
      <c r="K13" s="18" t="str">
        <f t="shared" si="3"/>
        <v>WO</v>
      </c>
      <c r="L13" s="18" t="s">
        <v>38</v>
      </c>
      <c r="M13" s="18" t="s">
        <v>38</v>
      </c>
      <c r="N13" s="18" t="s">
        <v>40</v>
      </c>
      <c r="O13" s="18" t="s">
        <v>38</v>
      </c>
      <c r="P13" s="18" t="s">
        <v>39</v>
      </c>
      <c r="Q13" s="18" t="s">
        <v>39</v>
      </c>
      <c r="R13" s="18" t="str">
        <f t="shared" si="3"/>
        <v>WO</v>
      </c>
      <c r="S13" s="18" t="s">
        <v>38</v>
      </c>
      <c r="T13" s="18" t="s">
        <v>38</v>
      </c>
      <c r="U13" s="18" t="s">
        <v>39</v>
      </c>
      <c r="V13" s="18" t="s">
        <v>38</v>
      </c>
      <c r="W13" s="18" t="s">
        <v>39</v>
      </c>
      <c r="X13" s="18" t="s">
        <v>39</v>
      </c>
      <c r="Y13" s="18" t="str">
        <f t="shared" si="3"/>
        <v>WO</v>
      </c>
      <c r="Z13" s="18" t="s">
        <v>38</v>
      </c>
      <c r="AA13" s="18" t="s">
        <v>38</v>
      </c>
      <c r="AB13" s="18" t="s">
        <v>39</v>
      </c>
      <c r="AC13" s="18" t="s">
        <v>38</v>
      </c>
      <c r="AD13" s="18" t="s">
        <v>38</v>
      </c>
      <c r="AE13" s="18" t="s">
        <v>38</v>
      </c>
      <c r="AF13" s="18" t="str">
        <f t="shared" si="3"/>
        <v>WO</v>
      </c>
      <c r="AG13" s="18" t="s">
        <v>38</v>
      </c>
      <c r="AH13" s="18" t="s">
        <v>38</v>
      </c>
      <c r="AI13" s="18" t="s">
        <v>39</v>
      </c>
      <c r="AJ13" s="18" t="s">
        <v>38</v>
      </c>
      <c r="AK13" s="18" t="s">
        <v>39</v>
      </c>
      <c r="AL13" s="18" t="s">
        <v>39</v>
      </c>
      <c r="AM13" s="18" t="str">
        <f t="shared" si="3"/>
        <v>WO</v>
      </c>
      <c r="AN13" s="19" t="s">
        <v>39</v>
      </c>
      <c r="AO13" s="32"/>
      <c r="AP13" s="34"/>
      <c r="AQ13" s="9">
        <v>5</v>
      </c>
      <c r="AR13" s="9">
        <v>1005</v>
      </c>
      <c r="AS13" s="9" t="str">
        <f t="shared" si="8"/>
        <v>March</v>
      </c>
      <c r="AT13" s="15" t="s">
        <v>7</v>
      </c>
      <c r="AU13" s="28">
        <f t="shared" si="4"/>
        <v>14</v>
      </c>
      <c r="AV13">
        <f t="shared" si="5"/>
        <v>11</v>
      </c>
      <c r="AW13">
        <f t="shared" si="6"/>
        <v>1</v>
      </c>
      <c r="AX13">
        <f t="shared" si="9"/>
        <v>5</v>
      </c>
      <c r="AY13" s="29">
        <f t="shared" si="10"/>
        <v>31</v>
      </c>
      <c r="AZ13" s="29">
        <f t="shared" si="11"/>
        <v>20</v>
      </c>
      <c r="BA13" s="30">
        <f t="shared" ca="1" si="12"/>
        <v>49879</v>
      </c>
      <c r="BB13" s="30">
        <f t="shared" ca="1" si="13"/>
        <v>2493.9499999999998</v>
      </c>
      <c r="BC13" s="30">
        <f t="shared" ca="1" si="14"/>
        <v>27433.449999999997</v>
      </c>
      <c r="BD13" s="30">
        <f t="shared" ca="1" si="15"/>
        <v>22445.550000000003</v>
      </c>
      <c r="BF13" s="34"/>
      <c r="BG13" s="31"/>
      <c r="BH13" s="31"/>
      <c r="BI13" s="31"/>
      <c r="BJ13" s="31"/>
    </row>
    <row r="14" spans="1:62" x14ac:dyDescent="0.3">
      <c r="C14" s="31"/>
      <c r="D14" s="31"/>
      <c r="E14" s="32"/>
      <c r="F14" s="8">
        <v>6</v>
      </c>
      <c r="G14" s="9">
        <v>1006</v>
      </c>
      <c r="H14" s="15" t="s">
        <v>8</v>
      </c>
      <c r="I14" s="17">
        <f t="shared" si="7"/>
        <v>5</v>
      </c>
      <c r="J14" s="18" t="s">
        <v>39</v>
      </c>
      <c r="K14" s="18" t="str">
        <f t="shared" si="3"/>
        <v>WO</v>
      </c>
      <c r="L14" s="18" t="s">
        <v>38</v>
      </c>
      <c r="M14" s="18" t="s">
        <v>38</v>
      </c>
      <c r="N14" s="18" t="s">
        <v>40</v>
      </c>
      <c r="O14" s="18" t="s">
        <v>38</v>
      </c>
      <c r="P14" s="18" t="s">
        <v>39</v>
      </c>
      <c r="Q14" s="18" t="s">
        <v>39</v>
      </c>
      <c r="R14" s="18" t="str">
        <f t="shared" si="3"/>
        <v>WO</v>
      </c>
      <c r="S14" s="18" t="s">
        <v>38</v>
      </c>
      <c r="T14" s="18" t="s">
        <v>38</v>
      </c>
      <c r="U14" s="18" t="s">
        <v>39</v>
      </c>
      <c r="V14" s="18" t="s">
        <v>38</v>
      </c>
      <c r="W14" s="18" t="s">
        <v>39</v>
      </c>
      <c r="X14" s="18" t="s">
        <v>39</v>
      </c>
      <c r="Y14" s="18" t="str">
        <f t="shared" si="3"/>
        <v>WO</v>
      </c>
      <c r="Z14" s="18" t="s">
        <v>38</v>
      </c>
      <c r="AA14" s="18" t="s">
        <v>38</v>
      </c>
      <c r="AB14" s="18" t="s">
        <v>39</v>
      </c>
      <c r="AC14" s="18" t="s">
        <v>38</v>
      </c>
      <c r="AD14" s="18" t="s">
        <v>39</v>
      </c>
      <c r="AE14" s="18" t="s">
        <v>39</v>
      </c>
      <c r="AF14" s="18" t="str">
        <f t="shared" si="3"/>
        <v>WO</v>
      </c>
      <c r="AG14" s="18" t="s">
        <v>38</v>
      </c>
      <c r="AH14" s="18" t="s">
        <v>38</v>
      </c>
      <c r="AI14" s="18" t="s">
        <v>39</v>
      </c>
      <c r="AJ14" s="18" t="s">
        <v>38</v>
      </c>
      <c r="AK14" s="18" t="s">
        <v>39</v>
      </c>
      <c r="AL14" s="18" t="s">
        <v>39</v>
      </c>
      <c r="AM14" s="18" t="str">
        <f t="shared" si="3"/>
        <v>WO</v>
      </c>
      <c r="AN14" s="19" t="s">
        <v>39</v>
      </c>
      <c r="AO14" s="32"/>
      <c r="AP14" s="34"/>
      <c r="AQ14" s="9">
        <v>6</v>
      </c>
      <c r="AR14" s="9">
        <v>1006</v>
      </c>
      <c r="AS14" s="9" t="str">
        <f t="shared" si="8"/>
        <v>March</v>
      </c>
      <c r="AT14" s="15" t="s">
        <v>8</v>
      </c>
      <c r="AU14" s="28">
        <f t="shared" si="4"/>
        <v>12</v>
      </c>
      <c r="AV14">
        <f t="shared" si="5"/>
        <v>13</v>
      </c>
      <c r="AW14">
        <f t="shared" si="6"/>
        <v>1</v>
      </c>
      <c r="AX14">
        <f t="shared" si="9"/>
        <v>5</v>
      </c>
      <c r="AY14" s="29">
        <f t="shared" si="10"/>
        <v>31</v>
      </c>
      <c r="AZ14" s="29">
        <f t="shared" si="11"/>
        <v>18</v>
      </c>
      <c r="BA14" s="30">
        <f t="shared" ca="1" si="12"/>
        <v>20906</v>
      </c>
      <c r="BB14" s="30">
        <f t="shared" ca="1" si="13"/>
        <v>1161.4444444444443</v>
      </c>
      <c r="BC14" s="30">
        <f t="shared" ca="1" si="14"/>
        <v>15098.777777777777</v>
      </c>
      <c r="BD14" s="30">
        <f t="shared" ca="1" si="15"/>
        <v>5807.2222222222226</v>
      </c>
      <c r="BF14" s="34"/>
      <c r="BG14" s="31"/>
      <c r="BH14" s="31"/>
      <c r="BI14" s="31"/>
      <c r="BJ14" s="31"/>
    </row>
    <row r="15" spans="1:62" x14ac:dyDescent="0.3">
      <c r="C15" s="31"/>
      <c r="D15" s="31"/>
      <c r="E15" s="32"/>
      <c r="F15" s="8">
        <v>7</v>
      </c>
      <c r="G15" s="9">
        <v>1007</v>
      </c>
      <c r="H15" s="15" t="s">
        <v>9</v>
      </c>
      <c r="I15" s="17">
        <f t="shared" si="7"/>
        <v>5</v>
      </c>
      <c r="J15" s="18" t="s">
        <v>38</v>
      </c>
      <c r="K15" s="18" t="str">
        <f t="shared" si="3"/>
        <v>WO</v>
      </c>
      <c r="L15" s="18" t="s">
        <v>38</v>
      </c>
      <c r="M15" s="18" t="s">
        <v>38</v>
      </c>
      <c r="N15" s="18" t="s">
        <v>40</v>
      </c>
      <c r="O15" s="18" t="s">
        <v>38</v>
      </c>
      <c r="P15" s="18" t="s">
        <v>38</v>
      </c>
      <c r="Q15" s="18" t="s">
        <v>38</v>
      </c>
      <c r="R15" s="18" t="str">
        <f t="shared" si="3"/>
        <v>WO</v>
      </c>
      <c r="S15" s="18" t="s">
        <v>38</v>
      </c>
      <c r="T15" s="18" t="s">
        <v>38</v>
      </c>
      <c r="U15" s="18" t="s">
        <v>38</v>
      </c>
      <c r="V15" s="18" t="s">
        <v>38</v>
      </c>
      <c r="W15" s="18" t="s">
        <v>38</v>
      </c>
      <c r="X15" s="18" t="s">
        <v>38</v>
      </c>
      <c r="Y15" s="18" t="str">
        <f t="shared" si="3"/>
        <v>WO</v>
      </c>
      <c r="Z15" s="18" t="s">
        <v>38</v>
      </c>
      <c r="AA15" s="18" t="s">
        <v>38</v>
      </c>
      <c r="AB15" s="18" t="s">
        <v>38</v>
      </c>
      <c r="AC15" s="18" t="s">
        <v>38</v>
      </c>
      <c r="AD15" s="18" t="s">
        <v>38</v>
      </c>
      <c r="AE15" s="18" t="s">
        <v>38</v>
      </c>
      <c r="AF15" s="18" t="str">
        <f t="shared" si="3"/>
        <v>WO</v>
      </c>
      <c r="AG15" s="18" t="s">
        <v>38</v>
      </c>
      <c r="AH15" s="18" t="s">
        <v>38</v>
      </c>
      <c r="AI15" s="18" t="s">
        <v>38</v>
      </c>
      <c r="AJ15" s="18" t="s">
        <v>38</v>
      </c>
      <c r="AK15" s="18" t="s">
        <v>38</v>
      </c>
      <c r="AL15" s="18" t="s">
        <v>40</v>
      </c>
      <c r="AM15" s="18" t="str">
        <f t="shared" si="3"/>
        <v>WO</v>
      </c>
      <c r="AN15" s="19" t="s">
        <v>38</v>
      </c>
      <c r="AO15" s="32"/>
      <c r="AP15" s="34"/>
      <c r="AQ15" s="9">
        <v>7</v>
      </c>
      <c r="AR15" s="9">
        <v>1007</v>
      </c>
      <c r="AS15" s="9" t="str">
        <f t="shared" si="8"/>
        <v>March</v>
      </c>
      <c r="AT15" s="15" t="s">
        <v>9</v>
      </c>
      <c r="AU15" s="28">
        <f t="shared" si="4"/>
        <v>24</v>
      </c>
      <c r="AV15">
        <f t="shared" si="5"/>
        <v>0</v>
      </c>
      <c r="AW15">
        <f t="shared" si="6"/>
        <v>2</v>
      </c>
      <c r="AX15">
        <f t="shared" si="9"/>
        <v>5</v>
      </c>
      <c r="AY15" s="29">
        <f t="shared" si="10"/>
        <v>31</v>
      </c>
      <c r="AZ15" s="29">
        <f t="shared" si="11"/>
        <v>31</v>
      </c>
      <c r="BA15" s="30">
        <f t="shared" ca="1" si="12"/>
        <v>13759</v>
      </c>
      <c r="BB15" s="30">
        <f t="shared" ca="1" si="13"/>
        <v>443.83870967741933</v>
      </c>
      <c r="BC15" s="30">
        <f t="shared" ca="1" si="14"/>
        <v>0</v>
      </c>
      <c r="BD15" s="30">
        <f t="shared" ca="1" si="15"/>
        <v>13759</v>
      </c>
      <c r="BF15" s="34"/>
      <c r="BG15" s="31"/>
      <c r="BH15" s="31"/>
      <c r="BI15" s="31"/>
      <c r="BJ15" s="31"/>
    </row>
    <row r="16" spans="1:62" x14ac:dyDescent="0.3">
      <c r="C16" s="31"/>
      <c r="D16" s="31"/>
      <c r="E16" s="32"/>
      <c r="F16" s="8">
        <v>8</v>
      </c>
      <c r="G16" s="9">
        <v>1008</v>
      </c>
      <c r="H16" s="15" t="s">
        <v>10</v>
      </c>
      <c r="I16" s="17">
        <f t="shared" si="7"/>
        <v>5</v>
      </c>
      <c r="J16" s="18" t="s">
        <v>38</v>
      </c>
      <c r="K16" s="18" t="str">
        <f t="shared" si="3"/>
        <v>WO</v>
      </c>
      <c r="L16" s="18" t="s">
        <v>38</v>
      </c>
      <c r="M16" s="18" t="s">
        <v>39</v>
      </c>
      <c r="N16" s="18" t="s">
        <v>40</v>
      </c>
      <c r="O16" s="18" t="s">
        <v>38</v>
      </c>
      <c r="P16" s="18" t="s">
        <v>38</v>
      </c>
      <c r="Q16" s="18" t="s">
        <v>38</v>
      </c>
      <c r="R16" s="18" t="str">
        <f t="shared" si="3"/>
        <v>WO</v>
      </c>
      <c r="S16" s="18" t="s">
        <v>38</v>
      </c>
      <c r="T16" s="18" t="s">
        <v>39</v>
      </c>
      <c r="U16" s="18" t="s">
        <v>38</v>
      </c>
      <c r="V16" s="18" t="s">
        <v>38</v>
      </c>
      <c r="W16" s="18" t="s">
        <v>38</v>
      </c>
      <c r="X16" s="18" t="s">
        <v>38</v>
      </c>
      <c r="Y16" s="18" t="str">
        <f t="shared" si="3"/>
        <v>WO</v>
      </c>
      <c r="Z16" s="18" t="s">
        <v>38</v>
      </c>
      <c r="AA16" s="18" t="s">
        <v>39</v>
      </c>
      <c r="AB16" s="18" t="s">
        <v>38</v>
      </c>
      <c r="AC16" s="18" t="s">
        <v>38</v>
      </c>
      <c r="AD16" s="18" t="s">
        <v>38</v>
      </c>
      <c r="AE16" s="18" t="s">
        <v>38</v>
      </c>
      <c r="AF16" s="18" t="str">
        <f t="shared" si="3"/>
        <v>WO</v>
      </c>
      <c r="AG16" s="18" t="s">
        <v>38</v>
      </c>
      <c r="AH16" s="18" t="s">
        <v>39</v>
      </c>
      <c r="AI16" s="18" t="s">
        <v>38</v>
      </c>
      <c r="AJ16" s="18" t="s">
        <v>38</v>
      </c>
      <c r="AK16" s="18" t="s">
        <v>38</v>
      </c>
      <c r="AL16" s="18" t="s">
        <v>38</v>
      </c>
      <c r="AM16" s="18" t="str">
        <f t="shared" si="3"/>
        <v>WO</v>
      </c>
      <c r="AN16" s="19" t="s">
        <v>38</v>
      </c>
      <c r="AO16" s="32"/>
      <c r="AP16" s="34"/>
      <c r="AQ16" s="9">
        <v>8</v>
      </c>
      <c r="AR16" s="9">
        <v>1008</v>
      </c>
      <c r="AS16" s="9" t="str">
        <f t="shared" si="8"/>
        <v>March</v>
      </c>
      <c r="AT16" s="15" t="s">
        <v>10</v>
      </c>
      <c r="AU16" s="28">
        <f t="shared" si="4"/>
        <v>21</v>
      </c>
      <c r="AV16">
        <f t="shared" si="5"/>
        <v>4</v>
      </c>
      <c r="AW16">
        <f t="shared" si="6"/>
        <v>1</v>
      </c>
      <c r="AX16">
        <f t="shared" si="9"/>
        <v>5</v>
      </c>
      <c r="AY16" s="29">
        <f t="shared" si="10"/>
        <v>31</v>
      </c>
      <c r="AZ16" s="29">
        <f t="shared" si="11"/>
        <v>27</v>
      </c>
      <c r="BA16" s="30">
        <f t="shared" ca="1" si="12"/>
        <v>42879</v>
      </c>
      <c r="BB16" s="30">
        <f t="shared" ca="1" si="13"/>
        <v>1588.1111111111111</v>
      </c>
      <c r="BC16" s="30">
        <f t="shared" ca="1" si="14"/>
        <v>6352.4444444444443</v>
      </c>
      <c r="BD16" s="30">
        <f t="shared" ca="1" si="15"/>
        <v>36526.555555555555</v>
      </c>
      <c r="BF16" s="34"/>
      <c r="BG16" s="31"/>
      <c r="BH16" s="31"/>
      <c r="BI16" s="31"/>
      <c r="BJ16" s="31"/>
    </row>
    <row r="17" spans="1:62" x14ac:dyDescent="0.3">
      <c r="C17" s="31"/>
      <c r="D17" s="31"/>
      <c r="E17" s="32"/>
      <c r="F17" s="8">
        <v>9</v>
      </c>
      <c r="G17" s="9">
        <v>1009</v>
      </c>
      <c r="H17" s="15" t="s">
        <v>11</v>
      </c>
      <c r="I17" s="17">
        <f t="shared" si="7"/>
        <v>5</v>
      </c>
      <c r="J17" s="18" t="s">
        <v>38</v>
      </c>
      <c r="K17" s="18" t="str">
        <f t="shared" si="3"/>
        <v>WO</v>
      </c>
      <c r="L17" s="18" t="s">
        <v>38</v>
      </c>
      <c r="M17" s="18" t="s">
        <v>38</v>
      </c>
      <c r="N17" s="18" t="s">
        <v>40</v>
      </c>
      <c r="O17" s="18" t="s">
        <v>38</v>
      </c>
      <c r="P17" s="18" t="s">
        <v>38</v>
      </c>
      <c r="Q17" s="18" t="s">
        <v>38</v>
      </c>
      <c r="R17" s="18" t="str">
        <f t="shared" si="3"/>
        <v>WO</v>
      </c>
      <c r="S17" s="18" t="s">
        <v>38</v>
      </c>
      <c r="T17" s="18" t="s">
        <v>38</v>
      </c>
      <c r="U17" s="18" t="s">
        <v>38</v>
      </c>
      <c r="V17" s="18" t="s">
        <v>38</v>
      </c>
      <c r="W17" s="18" t="s">
        <v>38</v>
      </c>
      <c r="X17" s="18" t="s">
        <v>38</v>
      </c>
      <c r="Y17" s="18" t="str">
        <f t="shared" si="3"/>
        <v>WO</v>
      </c>
      <c r="Z17" s="18" t="s">
        <v>38</v>
      </c>
      <c r="AA17" s="18" t="s">
        <v>38</v>
      </c>
      <c r="AB17" s="18" t="s">
        <v>38</v>
      </c>
      <c r="AC17" s="18" t="s">
        <v>38</v>
      </c>
      <c r="AD17" s="18" t="s">
        <v>38</v>
      </c>
      <c r="AE17" s="18" t="s">
        <v>38</v>
      </c>
      <c r="AF17" s="18" t="str">
        <f t="shared" ref="AF17:AM28" si="16">IF(AF$7="Sun","WO","")</f>
        <v>WO</v>
      </c>
      <c r="AG17" s="18" t="s">
        <v>38</v>
      </c>
      <c r="AH17" s="18" t="s">
        <v>38</v>
      </c>
      <c r="AI17" s="18" t="s">
        <v>38</v>
      </c>
      <c r="AJ17" s="18" t="s">
        <v>38</v>
      </c>
      <c r="AK17" s="18" t="s">
        <v>38</v>
      </c>
      <c r="AL17" s="18" t="s">
        <v>38</v>
      </c>
      <c r="AM17" s="18" t="str">
        <f t="shared" si="16"/>
        <v>WO</v>
      </c>
      <c r="AN17" s="19" t="s">
        <v>38</v>
      </c>
      <c r="AO17" s="32"/>
      <c r="AP17" s="34"/>
      <c r="AQ17" s="9">
        <v>9</v>
      </c>
      <c r="AR17" s="9">
        <v>1009</v>
      </c>
      <c r="AS17" s="9" t="str">
        <f t="shared" si="8"/>
        <v>March</v>
      </c>
      <c r="AT17" s="15" t="s">
        <v>11</v>
      </c>
      <c r="AU17" s="28">
        <f t="shared" si="4"/>
        <v>25</v>
      </c>
      <c r="AV17">
        <f t="shared" si="5"/>
        <v>0</v>
      </c>
      <c r="AW17">
        <f t="shared" si="6"/>
        <v>1</v>
      </c>
      <c r="AX17">
        <f t="shared" si="9"/>
        <v>5</v>
      </c>
      <c r="AY17" s="29">
        <f t="shared" si="10"/>
        <v>31</v>
      </c>
      <c r="AZ17" s="29">
        <f t="shared" si="11"/>
        <v>31</v>
      </c>
      <c r="BA17" s="30">
        <f t="shared" ca="1" si="12"/>
        <v>48963</v>
      </c>
      <c r="BB17" s="30">
        <f t="shared" ca="1" si="13"/>
        <v>1579.4516129032259</v>
      </c>
      <c r="BC17" s="30">
        <f t="shared" ca="1" si="14"/>
        <v>0</v>
      </c>
      <c r="BD17" s="30">
        <f t="shared" ca="1" si="15"/>
        <v>48963</v>
      </c>
      <c r="BF17" s="34"/>
      <c r="BG17" s="31"/>
      <c r="BH17" s="31"/>
      <c r="BI17" s="31"/>
      <c r="BJ17" s="31"/>
    </row>
    <row r="18" spans="1:62" x14ac:dyDescent="0.3">
      <c r="C18" s="31"/>
      <c r="D18" s="31"/>
      <c r="E18" s="32"/>
      <c r="F18" s="8">
        <v>10</v>
      </c>
      <c r="G18" s="9">
        <v>1010</v>
      </c>
      <c r="H18" s="15" t="s">
        <v>12</v>
      </c>
      <c r="I18" s="17">
        <f t="shared" si="7"/>
        <v>5</v>
      </c>
      <c r="J18" s="18" t="s">
        <v>39</v>
      </c>
      <c r="K18" s="18" t="str">
        <f t="shared" ref="K18:Y28" si="17">IF(K$7="Sun","WO","")</f>
        <v>WO</v>
      </c>
      <c r="L18" s="18" t="s">
        <v>38</v>
      </c>
      <c r="M18" s="18" t="s">
        <v>38</v>
      </c>
      <c r="N18" s="18" t="s">
        <v>40</v>
      </c>
      <c r="O18" s="18" t="s">
        <v>38</v>
      </c>
      <c r="P18" s="18" t="s">
        <v>39</v>
      </c>
      <c r="Q18" s="18" t="s">
        <v>39</v>
      </c>
      <c r="R18" s="18" t="str">
        <f t="shared" si="17"/>
        <v>WO</v>
      </c>
      <c r="S18" s="18" t="s">
        <v>38</v>
      </c>
      <c r="T18" s="18" t="s">
        <v>38</v>
      </c>
      <c r="U18" s="18" t="s">
        <v>39</v>
      </c>
      <c r="V18" s="18" t="s">
        <v>38</v>
      </c>
      <c r="W18" s="18" t="s">
        <v>39</v>
      </c>
      <c r="X18" s="18" t="s">
        <v>39</v>
      </c>
      <c r="Y18" s="18" t="str">
        <f t="shared" si="17"/>
        <v>WO</v>
      </c>
      <c r="Z18" s="18" t="s">
        <v>38</v>
      </c>
      <c r="AA18" s="18" t="s">
        <v>38</v>
      </c>
      <c r="AB18" s="18" t="s">
        <v>38</v>
      </c>
      <c r="AC18" s="18" t="s">
        <v>38</v>
      </c>
      <c r="AD18" s="18" t="s">
        <v>38</v>
      </c>
      <c r="AE18" s="18" t="s">
        <v>39</v>
      </c>
      <c r="AF18" s="18" t="str">
        <f t="shared" si="16"/>
        <v>WO</v>
      </c>
      <c r="AG18" s="18" t="s">
        <v>38</v>
      </c>
      <c r="AH18" s="18" t="s">
        <v>38</v>
      </c>
      <c r="AI18" s="18" t="s">
        <v>39</v>
      </c>
      <c r="AJ18" s="18" t="s">
        <v>38</v>
      </c>
      <c r="AK18" s="18" t="s">
        <v>38</v>
      </c>
      <c r="AL18" s="18" t="s">
        <v>38</v>
      </c>
      <c r="AM18" s="18" t="str">
        <f t="shared" si="16"/>
        <v>WO</v>
      </c>
      <c r="AN18" s="19" t="s">
        <v>39</v>
      </c>
      <c r="AO18" s="32"/>
      <c r="AP18" s="34"/>
      <c r="AQ18" s="9">
        <v>10</v>
      </c>
      <c r="AR18" s="9">
        <v>1010</v>
      </c>
      <c r="AS18" s="9" t="str">
        <f t="shared" si="8"/>
        <v>March</v>
      </c>
      <c r="AT18" s="15" t="s">
        <v>12</v>
      </c>
      <c r="AU18" s="28">
        <f t="shared" si="4"/>
        <v>16</v>
      </c>
      <c r="AV18">
        <f t="shared" si="5"/>
        <v>9</v>
      </c>
      <c r="AW18">
        <f t="shared" si="6"/>
        <v>1</v>
      </c>
      <c r="AX18">
        <f t="shared" si="9"/>
        <v>5</v>
      </c>
      <c r="AY18" s="29">
        <f t="shared" si="10"/>
        <v>31</v>
      </c>
      <c r="AZ18" s="29">
        <f t="shared" si="11"/>
        <v>22</v>
      </c>
      <c r="BA18" s="30">
        <f t="shared" ca="1" si="12"/>
        <v>30104</v>
      </c>
      <c r="BB18" s="30">
        <f t="shared" ca="1" si="13"/>
        <v>1368.3636363636363</v>
      </c>
      <c r="BC18" s="30">
        <f t="shared" ca="1" si="14"/>
        <v>12315.272727272726</v>
      </c>
      <c r="BD18" s="30">
        <f t="shared" ca="1" si="15"/>
        <v>17788.727272727272</v>
      </c>
      <c r="BF18" s="34"/>
      <c r="BG18" s="31"/>
      <c r="BH18" s="31"/>
      <c r="BI18" s="31"/>
      <c r="BJ18" s="31"/>
    </row>
    <row r="19" spans="1:62" x14ac:dyDescent="0.3">
      <c r="C19" s="31"/>
      <c r="D19" s="31"/>
      <c r="E19" s="32"/>
      <c r="F19" s="8">
        <v>11</v>
      </c>
      <c r="G19" s="9">
        <v>1011</v>
      </c>
      <c r="H19" s="15" t="s">
        <v>13</v>
      </c>
      <c r="I19" s="17">
        <f t="shared" si="7"/>
        <v>5</v>
      </c>
      <c r="J19" s="18" t="s">
        <v>38</v>
      </c>
      <c r="K19" s="18" t="str">
        <f t="shared" si="17"/>
        <v>WO</v>
      </c>
      <c r="L19" s="18" t="s">
        <v>38</v>
      </c>
      <c r="M19" s="18" t="s">
        <v>38</v>
      </c>
      <c r="N19" s="18" t="s">
        <v>40</v>
      </c>
      <c r="O19" s="18" t="s">
        <v>38</v>
      </c>
      <c r="P19" s="18" t="s">
        <v>40</v>
      </c>
      <c r="Q19" s="18" t="s">
        <v>38</v>
      </c>
      <c r="R19" s="18" t="str">
        <f t="shared" si="17"/>
        <v>WO</v>
      </c>
      <c r="S19" s="18" t="s">
        <v>38</v>
      </c>
      <c r="T19" s="18" t="s">
        <v>38</v>
      </c>
      <c r="U19" s="18" t="s">
        <v>38</v>
      </c>
      <c r="V19" s="18" t="s">
        <v>38</v>
      </c>
      <c r="W19" s="18" t="s">
        <v>38</v>
      </c>
      <c r="X19" s="18" t="s">
        <v>38</v>
      </c>
      <c r="Y19" s="18" t="str">
        <f t="shared" si="17"/>
        <v>WO</v>
      </c>
      <c r="Z19" s="18" t="s">
        <v>38</v>
      </c>
      <c r="AA19" s="18" t="s">
        <v>38</v>
      </c>
      <c r="AB19" s="18" t="s">
        <v>38</v>
      </c>
      <c r="AC19" s="18" t="s">
        <v>38</v>
      </c>
      <c r="AD19" s="18" t="s">
        <v>38</v>
      </c>
      <c r="AE19" s="18" t="s">
        <v>38</v>
      </c>
      <c r="AF19" s="18" t="str">
        <f t="shared" si="16"/>
        <v>WO</v>
      </c>
      <c r="AG19" s="18" t="s">
        <v>38</v>
      </c>
      <c r="AH19" s="18" t="s">
        <v>38</v>
      </c>
      <c r="AI19" s="18" t="s">
        <v>38</v>
      </c>
      <c r="AJ19" s="18" t="s">
        <v>40</v>
      </c>
      <c r="AK19" s="18" t="s">
        <v>38</v>
      </c>
      <c r="AL19" s="18" t="s">
        <v>38</v>
      </c>
      <c r="AM19" s="18" t="str">
        <f t="shared" si="16"/>
        <v>WO</v>
      </c>
      <c r="AN19" s="19" t="s">
        <v>38</v>
      </c>
      <c r="AO19" s="32"/>
      <c r="AP19" s="34"/>
      <c r="AQ19" s="9">
        <v>11</v>
      </c>
      <c r="AR19" s="9">
        <v>1011</v>
      </c>
      <c r="AS19" s="9" t="str">
        <f t="shared" si="8"/>
        <v>March</v>
      </c>
      <c r="AT19" s="15" t="s">
        <v>13</v>
      </c>
      <c r="AU19" s="28">
        <f t="shared" si="4"/>
        <v>23</v>
      </c>
      <c r="AV19">
        <f t="shared" si="5"/>
        <v>0</v>
      </c>
      <c r="AW19">
        <f t="shared" si="6"/>
        <v>3</v>
      </c>
      <c r="AX19">
        <f t="shared" si="9"/>
        <v>5</v>
      </c>
      <c r="AY19" s="29">
        <f t="shared" si="10"/>
        <v>31</v>
      </c>
      <c r="AZ19" s="29">
        <f t="shared" si="11"/>
        <v>31</v>
      </c>
      <c r="BA19" s="30">
        <f t="shared" ca="1" si="12"/>
        <v>49084</v>
      </c>
      <c r="BB19" s="30">
        <f t="shared" ca="1" si="13"/>
        <v>1583.3548387096773</v>
      </c>
      <c r="BC19" s="30">
        <f t="shared" ca="1" si="14"/>
        <v>0</v>
      </c>
      <c r="BD19" s="30">
        <f t="shared" ca="1" si="15"/>
        <v>49084</v>
      </c>
      <c r="BF19" s="34"/>
      <c r="BG19" s="31"/>
      <c r="BH19" s="31"/>
      <c r="BI19" s="31"/>
      <c r="BJ19" s="31"/>
    </row>
    <row r="20" spans="1:62" x14ac:dyDescent="0.3">
      <c r="C20" s="31"/>
      <c r="D20" s="31"/>
      <c r="E20" s="32"/>
      <c r="F20" s="8">
        <v>12</v>
      </c>
      <c r="G20" s="9">
        <v>1012</v>
      </c>
      <c r="H20" s="15" t="s">
        <v>14</v>
      </c>
      <c r="I20" s="17">
        <f t="shared" si="7"/>
        <v>5</v>
      </c>
      <c r="J20" s="18" t="s">
        <v>38</v>
      </c>
      <c r="K20" s="18" t="str">
        <f t="shared" si="17"/>
        <v>WO</v>
      </c>
      <c r="L20" s="18" t="s">
        <v>38</v>
      </c>
      <c r="M20" s="18" t="s">
        <v>38</v>
      </c>
      <c r="N20" s="18" t="s">
        <v>38</v>
      </c>
      <c r="O20" s="18" t="s">
        <v>38</v>
      </c>
      <c r="P20" s="18" t="s">
        <v>38</v>
      </c>
      <c r="Q20" s="18" t="s">
        <v>38</v>
      </c>
      <c r="R20" s="18" t="str">
        <f t="shared" si="17"/>
        <v>WO</v>
      </c>
      <c r="S20" s="18" t="s">
        <v>38</v>
      </c>
      <c r="T20" s="18" t="s">
        <v>38</v>
      </c>
      <c r="U20" s="18" t="s">
        <v>38</v>
      </c>
      <c r="V20" s="18" t="s">
        <v>38</v>
      </c>
      <c r="W20" s="18" t="s">
        <v>38</v>
      </c>
      <c r="X20" s="18" t="s">
        <v>38</v>
      </c>
      <c r="Y20" s="18" t="str">
        <f t="shared" si="17"/>
        <v>WO</v>
      </c>
      <c r="Z20" s="18" t="s">
        <v>38</v>
      </c>
      <c r="AA20" s="18" t="s">
        <v>38</v>
      </c>
      <c r="AB20" s="18" t="s">
        <v>38</v>
      </c>
      <c r="AC20" s="18" t="s">
        <v>38</v>
      </c>
      <c r="AD20" s="18" t="s">
        <v>38</v>
      </c>
      <c r="AE20" s="18" t="s">
        <v>38</v>
      </c>
      <c r="AF20" s="18" t="str">
        <f t="shared" si="16"/>
        <v>WO</v>
      </c>
      <c r="AG20" s="18" t="s">
        <v>38</v>
      </c>
      <c r="AH20" s="18" t="s">
        <v>38</v>
      </c>
      <c r="AI20" s="18" t="s">
        <v>38</v>
      </c>
      <c r="AJ20" s="18" t="s">
        <v>38</v>
      </c>
      <c r="AK20" s="18" t="s">
        <v>38</v>
      </c>
      <c r="AL20" s="18" t="s">
        <v>38</v>
      </c>
      <c r="AM20" s="18" t="str">
        <f t="shared" si="16"/>
        <v>WO</v>
      </c>
      <c r="AN20" s="19" t="s">
        <v>38</v>
      </c>
      <c r="AO20" s="32"/>
      <c r="AP20" s="34"/>
      <c r="AQ20" s="9">
        <v>12</v>
      </c>
      <c r="AR20" s="9">
        <v>1012</v>
      </c>
      <c r="AS20" s="9" t="str">
        <f t="shared" si="8"/>
        <v>March</v>
      </c>
      <c r="AT20" s="15" t="s">
        <v>14</v>
      </c>
      <c r="AU20" s="28">
        <f t="shared" si="4"/>
        <v>26</v>
      </c>
      <c r="AV20">
        <f t="shared" si="5"/>
        <v>0</v>
      </c>
      <c r="AW20">
        <f t="shared" si="6"/>
        <v>0</v>
      </c>
      <c r="AX20">
        <f t="shared" si="9"/>
        <v>5</v>
      </c>
      <c r="AY20" s="29">
        <f t="shared" si="10"/>
        <v>31</v>
      </c>
      <c r="AZ20" s="29">
        <f t="shared" si="11"/>
        <v>31</v>
      </c>
      <c r="BA20" s="30">
        <f t="shared" ca="1" si="12"/>
        <v>49705</v>
      </c>
      <c r="BB20" s="30">
        <f t="shared" ca="1" si="13"/>
        <v>1603.3870967741937</v>
      </c>
      <c r="BC20" s="30">
        <f t="shared" ca="1" si="14"/>
        <v>0</v>
      </c>
      <c r="BD20" s="30">
        <f t="shared" ca="1" si="15"/>
        <v>49705</v>
      </c>
      <c r="BF20" s="34"/>
      <c r="BG20" s="31"/>
      <c r="BH20" s="31"/>
      <c r="BI20" s="31"/>
      <c r="BJ20" s="31"/>
    </row>
    <row r="21" spans="1:62" x14ac:dyDescent="0.3">
      <c r="C21" s="31"/>
      <c r="D21" s="31"/>
      <c r="E21" s="32"/>
      <c r="F21" s="8">
        <v>13</v>
      </c>
      <c r="G21" s="9">
        <v>1013</v>
      </c>
      <c r="H21" s="15" t="s">
        <v>15</v>
      </c>
      <c r="I21" s="17">
        <f t="shared" si="7"/>
        <v>5</v>
      </c>
      <c r="J21" s="18" t="s">
        <v>38</v>
      </c>
      <c r="K21" s="18" t="str">
        <f t="shared" si="17"/>
        <v>WO</v>
      </c>
      <c r="L21" s="18" t="s">
        <v>38</v>
      </c>
      <c r="M21" s="18" t="s">
        <v>39</v>
      </c>
      <c r="N21" s="18" t="s">
        <v>38</v>
      </c>
      <c r="O21" s="18" t="s">
        <v>38</v>
      </c>
      <c r="P21" s="18" t="s">
        <v>38</v>
      </c>
      <c r="Q21" s="18" t="s">
        <v>38</v>
      </c>
      <c r="R21" s="18" t="str">
        <f t="shared" si="17"/>
        <v>WO</v>
      </c>
      <c r="S21" s="18" t="s">
        <v>38</v>
      </c>
      <c r="T21" s="18" t="s">
        <v>39</v>
      </c>
      <c r="U21" s="18" t="s">
        <v>38</v>
      </c>
      <c r="V21" s="18" t="s">
        <v>38</v>
      </c>
      <c r="W21" s="18" t="s">
        <v>38</v>
      </c>
      <c r="X21" s="18" t="s">
        <v>38</v>
      </c>
      <c r="Y21" s="18" t="str">
        <f t="shared" si="17"/>
        <v>WO</v>
      </c>
      <c r="Z21" s="18" t="s">
        <v>38</v>
      </c>
      <c r="AA21" s="18" t="s">
        <v>39</v>
      </c>
      <c r="AB21" s="18" t="s">
        <v>38</v>
      </c>
      <c r="AC21" s="18" t="s">
        <v>38</v>
      </c>
      <c r="AD21" s="18" t="s">
        <v>38</v>
      </c>
      <c r="AE21" s="18" t="s">
        <v>38</v>
      </c>
      <c r="AF21" s="18" t="str">
        <f t="shared" si="16"/>
        <v>WO</v>
      </c>
      <c r="AG21" s="18" t="s">
        <v>38</v>
      </c>
      <c r="AH21" s="18" t="s">
        <v>39</v>
      </c>
      <c r="AI21" s="18" t="s">
        <v>38</v>
      </c>
      <c r="AJ21" s="18" t="s">
        <v>38</v>
      </c>
      <c r="AK21" s="18" t="s">
        <v>38</v>
      </c>
      <c r="AL21" s="18" t="s">
        <v>38</v>
      </c>
      <c r="AM21" s="18" t="str">
        <f t="shared" si="16"/>
        <v>WO</v>
      </c>
      <c r="AN21" s="19" t="s">
        <v>38</v>
      </c>
      <c r="AO21" s="32"/>
      <c r="AP21" s="34"/>
      <c r="AQ21" s="9">
        <v>13</v>
      </c>
      <c r="AR21" s="9">
        <v>1013</v>
      </c>
      <c r="AS21" s="9" t="str">
        <f t="shared" si="8"/>
        <v>March</v>
      </c>
      <c r="AT21" s="15" t="s">
        <v>15</v>
      </c>
      <c r="AU21" s="28">
        <f t="shared" si="4"/>
        <v>22</v>
      </c>
      <c r="AV21">
        <f t="shared" si="5"/>
        <v>4</v>
      </c>
      <c r="AW21">
        <f t="shared" si="6"/>
        <v>0</v>
      </c>
      <c r="AX21">
        <f t="shared" si="9"/>
        <v>5</v>
      </c>
      <c r="AY21" s="29">
        <f t="shared" si="10"/>
        <v>31</v>
      </c>
      <c r="AZ21" s="29">
        <f t="shared" si="11"/>
        <v>27</v>
      </c>
      <c r="BA21" s="30">
        <f t="shared" ca="1" si="12"/>
        <v>49009</v>
      </c>
      <c r="BB21" s="30">
        <f t="shared" ca="1" si="13"/>
        <v>1815.148148148148</v>
      </c>
      <c r="BC21" s="30">
        <f t="shared" ca="1" si="14"/>
        <v>7260.5925925925922</v>
      </c>
      <c r="BD21" s="30">
        <f t="shared" ca="1" si="15"/>
        <v>41748.407407407409</v>
      </c>
      <c r="BF21" s="34"/>
      <c r="BG21" s="31"/>
      <c r="BH21" s="31"/>
      <c r="BI21" s="31"/>
      <c r="BJ21" s="31"/>
    </row>
    <row r="22" spans="1:62" x14ac:dyDescent="0.3">
      <c r="C22" s="31"/>
      <c r="D22" s="31"/>
      <c r="E22" s="32"/>
      <c r="F22" s="8">
        <v>14</v>
      </c>
      <c r="G22" s="9">
        <v>1014</v>
      </c>
      <c r="H22" s="15" t="s">
        <v>16</v>
      </c>
      <c r="I22" s="17">
        <f t="shared" si="7"/>
        <v>5</v>
      </c>
      <c r="J22" s="18" t="s">
        <v>38</v>
      </c>
      <c r="K22" s="18" t="str">
        <f t="shared" si="17"/>
        <v>WO</v>
      </c>
      <c r="L22" s="18" t="s">
        <v>38</v>
      </c>
      <c r="M22" s="18" t="s">
        <v>38</v>
      </c>
      <c r="N22" s="18" t="s">
        <v>38</v>
      </c>
      <c r="O22" s="18" t="s">
        <v>38</v>
      </c>
      <c r="P22" s="18" t="s">
        <v>40</v>
      </c>
      <c r="Q22" s="18" t="s">
        <v>38</v>
      </c>
      <c r="R22" s="18" t="str">
        <f t="shared" si="17"/>
        <v>WO</v>
      </c>
      <c r="S22" s="18" t="s">
        <v>38</v>
      </c>
      <c r="T22" s="18" t="s">
        <v>38</v>
      </c>
      <c r="U22" s="18" t="s">
        <v>38</v>
      </c>
      <c r="V22" s="18" t="s">
        <v>38</v>
      </c>
      <c r="W22" s="18" t="s">
        <v>38</v>
      </c>
      <c r="X22" s="18" t="s">
        <v>38</v>
      </c>
      <c r="Y22" s="18" t="str">
        <f t="shared" si="17"/>
        <v>WO</v>
      </c>
      <c r="Z22" s="18" t="s">
        <v>38</v>
      </c>
      <c r="AA22" s="18" t="s">
        <v>38</v>
      </c>
      <c r="AB22" s="18" t="s">
        <v>38</v>
      </c>
      <c r="AC22" s="18" t="s">
        <v>38</v>
      </c>
      <c r="AD22" s="18" t="s">
        <v>38</v>
      </c>
      <c r="AE22" s="18" t="s">
        <v>38</v>
      </c>
      <c r="AF22" s="18" t="str">
        <f t="shared" si="16"/>
        <v>WO</v>
      </c>
      <c r="AG22" s="18" t="s">
        <v>38</v>
      </c>
      <c r="AH22" s="18" t="s">
        <v>38</v>
      </c>
      <c r="AI22" s="18" t="s">
        <v>38</v>
      </c>
      <c r="AJ22" s="18" t="s">
        <v>38</v>
      </c>
      <c r="AK22" s="18" t="s">
        <v>40</v>
      </c>
      <c r="AL22" s="18" t="s">
        <v>38</v>
      </c>
      <c r="AM22" s="18" t="str">
        <f t="shared" si="16"/>
        <v>WO</v>
      </c>
      <c r="AN22" s="19" t="s">
        <v>38</v>
      </c>
      <c r="AO22" s="32"/>
      <c r="AP22" s="34"/>
      <c r="AQ22" s="9">
        <v>14</v>
      </c>
      <c r="AR22" s="9">
        <v>1014</v>
      </c>
      <c r="AS22" s="9" t="str">
        <f t="shared" si="8"/>
        <v>March</v>
      </c>
      <c r="AT22" s="15" t="s">
        <v>16</v>
      </c>
      <c r="AU22" s="28">
        <f t="shared" si="4"/>
        <v>24</v>
      </c>
      <c r="AV22">
        <f t="shared" si="5"/>
        <v>0</v>
      </c>
      <c r="AW22">
        <f t="shared" si="6"/>
        <v>2</v>
      </c>
      <c r="AX22">
        <f t="shared" si="9"/>
        <v>5</v>
      </c>
      <c r="AY22" s="29">
        <f t="shared" si="10"/>
        <v>31</v>
      </c>
      <c r="AZ22" s="29">
        <f t="shared" si="11"/>
        <v>31</v>
      </c>
      <c r="BA22" s="30">
        <f t="shared" ca="1" si="12"/>
        <v>37244</v>
      </c>
      <c r="BB22" s="30">
        <f t="shared" ca="1" si="13"/>
        <v>1201.4193548387098</v>
      </c>
      <c r="BC22" s="30">
        <f t="shared" ca="1" si="14"/>
        <v>0</v>
      </c>
      <c r="BD22" s="30">
        <f t="shared" ca="1" si="15"/>
        <v>37244</v>
      </c>
      <c r="BF22" s="34"/>
      <c r="BG22" s="31"/>
      <c r="BH22" s="31"/>
      <c r="BI22" s="31"/>
      <c r="BJ22" s="31"/>
    </row>
    <row r="23" spans="1:62" x14ac:dyDescent="0.3">
      <c r="C23" s="31"/>
      <c r="D23" s="31"/>
      <c r="E23" s="32"/>
      <c r="F23" s="8">
        <v>15</v>
      </c>
      <c r="G23" s="9">
        <v>1015</v>
      </c>
      <c r="H23" s="15" t="s">
        <v>17</v>
      </c>
      <c r="I23" s="17">
        <f t="shared" si="7"/>
        <v>5</v>
      </c>
      <c r="J23" s="18" t="s">
        <v>38</v>
      </c>
      <c r="K23" s="18" t="str">
        <f t="shared" si="17"/>
        <v>WO</v>
      </c>
      <c r="L23" s="18" t="s">
        <v>38</v>
      </c>
      <c r="M23" s="18" t="s">
        <v>38</v>
      </c>
      <c r="N23" s="18" t="s">
        <v>38</v>
      </c>
      <c r="O23" s="18" t="s">
        <v>38</v>
      </c>
      <c r="P23" s="18" t="s">
        <v>38</v>
      </c>
      <c r="Q23" s="18" t="s">
        <v>38</v>
      </c>
      <c r="R23" s="18" t="str">
        <f t="shared" si="17"/>
        <v>WO</v>
      </c>
      <c r="S23" s="18" t="s">
        <v>38</v>
      </c>
      <c r="T23" s="18" t="s">
        <v>38</v>
      </c>
      <c r="U23" s="18" t="s">
        <v>38</v>
      </c>
      <c r="V23" s="18" t="s">
        <v>38</v>
      </c>
      <c r="W23" s="18" t="s">
        <v>38</v>
      </c>
      <c r="X23" s="18" t="s">
        <v>38</v>
      </c>
      <c r="Y23" s="18" t="str">
        <f t="shared" si="17"/>
        <v>WO</v>
      </c>
      <c r="Z23" s="18" t="s">
        <v>38</v>
      </c>
      <c r="AA23" s="18" t="s">
        <v>38</v>
      </c>
      <c r="AB23" s="18" t="s">
        <v>38</v>
      </c>
      <c r="AC23" s="18" t="s">
        <v>38</v>
      </c>
      <c r="AD23" s="18" t="s">
        <v>38</v>
      </c>
      <c r="AE23" s="18" t="s">
        <v>38</v>
      </c>
      <c r="AF23" s="18" t="str">
        <f t="shared" si="16"/>
        <v>WO</v>
      </c>
      <c r="AG23" s="18" t="s">
        <v>38</v>
      </c>
      <c r="AH23" s="18" t="s">
        <v>38</v>
      </c>
      <c r="AI23" s="18" t="s">
        <v>38</v>
      </c>
      <c r="AJ23" s="18" t="s">
        <v>38</v>
      </c>
      <c r="AK23" s="18" t="s">
        <v>38</v>
      </c>
      <c r="AL23" s="18" t="s">
        <v>38</v>
      </c>
      <c r="AM23" s="18" t="str">
        <f t="shared" si="16"/>
        <v>WO</v>
      </c>
      <c r="AN23" s="19" t="s">
        <v>38</v>
      </c>
      <c r="AO23" s="32"/>
      <c r="AP23" s="34"/>
      <c r="AQ23" s="9">
        <v>15</v>
      </c>
      <c r="AR23" s="9">
        <v>1015</v>
      </c>
      <c r="AS23" s="9" t="str">
        <f t="shared" si="8"/>
        <v>March</v>
      </c>
      <c r="AT23" s="15" t="s">
        <v>17</v>
      </c>
      <c r="AU23" s="28">
        <f t="shared" si="4"/>
        <v>26</v>
      </c>
      <c r="AV23">
        <f t="shared" si="5"/>
        <v>0</v>
      </c>
      <c r="AW23">
        <f t="shared" si="6"/>
        <v>0</v>
      </c>
      <c r="AX23">
        <f t="shared" si="9"/>
        <v>5</v>
      </c>
      <c r="AY23" s="29">
        <f t="shared" si="10"/>
        <v>31</v>
      </c>
      <c r="AZ23" s="29">
        <f t="shared" si="11"/>
        <v>31</v>
      </c>
      <c r="BA23" s="30">
        <f t="shared" ca="1" si="12"/>
        <v>36992</v>
      </c>
      <c r="BB23" s="30">
        <f t="shared" ca="1" si="13"/>
        <v>1193.2903225806451</v>
      </c>
      <c r="BC23" s="30">
        <f t="shared" ca="1" si="14"/>
        <v>0</v>
      </c>
      <c r="BD23" s="30">
        <f t="shared" ca="1" si="15"/>
        <v>36992</v>
      </c>
      <c r="BF23" s="34"/>
      <c r="BG23" s="31"/>
      <c r="BH23" s="31"/>
      <c r="BI23" s="31"/>
      <c r="BJ23" s="31"/>
    </row>
    <row r="24" spans="1:62" x14ac:dyDescent="0.3">
      <c r="C24" s="31"/>
      <c r="D24" s="31"/>
      <c r="E24" s="32"/>
      <c r="F24" s="8">
        <v>16</v>
      </c>
      <c r="G24" s="9">
        <v>1016</v>
      </c>
      <c r="H24" s="15" t="s">
        <v>18</v>
      </c>
      <c r="I24" s="17">
        <f t="shared" si="7"/>
        <v>5</v>
      </c>
      <c r="J24" s="18" t="s">
        <v>39</v>
      </c>
      <c r="K24" s="18" t="str">
        <f t="shared" si="17"/>
        <v>WO</v>
      </c>
      <c r="L24" s="18" t="s">
        <v>38</v>
      </c>
      <c r="M24" s="18" t="s">
        <v>38</v>
      </c>
      <c r="N24" s="18" t="s">
        <v>39</v>
      </c>
      <c r="O24" s="18" t="s">
        <v>38</v>
      </c>
      <c r="P24" s="18" t="s">
        <v>39</v>
      </c>
      <c r="Q24" s="18" t="s">
        <v>39</v>
      </c>
      <c r="R24" s="18" t="str">
        <f t="shared" si="17"/>
        <v>WO</v>
      </c>
      <c r="S24" s="18" t="s">
        <v>38</v>
      </c>
      <c r="T24" s="18" t="s">
        <v>38</v>
      </c>
      <c r="U24" s="18" t="s">
        <v>39</v>
      </c>
      <c r="V24" s="18" t="s">
        <v>38</v>
      </c>
      <c r="W24" s="18" t="s">
        <v>39</v>
      </c>
      <c r="X24" s="18" t="s">
        <v>39</v>
      </c>
      <c r="Y24" s="18" t="str">
        <f t="shared" si="17"/>
        <v>WO</v>
      </c>
      <c r="Z24" s="18" t="s">
        <v>38</v>
      </c>
      <c r="AA24" s="18" t="s">
        <v>38</v>
      </c>
      <c r="AB24" s="18" t="s">
        <v>39</v>
      </c>
      <c r="AC24" s="18" t="s">
        <v>38</v>
      </c>
      <c r="AD24" s="18" t="s">
        <v>38</v>
      </c>
      <c r="AE24" s="18" t="s">
        <v>39</v>
      </c>
      <c r="AF24" s="18" t="str">
        <f t="shared" si="16"/>
        <v>WO</v>
      </c>
      <c r="AG24" s="18" t="s">
        <v>38</v>
      </c>
      <c r="AH24" s="18" t="s">
        <v>38</v>
      </c>
      <c r="AI24" s="18" t="s">
        <v>39</v>
      </c>
      <c r="AJ24" s="18" t="s">
        <v>38</v>
      </c>
      <c r="AK24" s="18" t="s">
        <v>40</v>
      </c>
      <c r="AL24" s="18" t="s">
        <v>39</v>
      </c>
      <c r="AM24" s="18" t="str">
        <f t="shared" si="16"/>
        <v>WO</v>
      </c>
      <c r="AN24" s="19" t="s">
        <v>38</v>
      </c>
      <c r="AO24" s="32"/>
      <c r="AP24" s="34"/>
      <c r="AQ24" s="9">
        <v>16</v>
      </c>
      <c r="AR24" s="9">
        <v>1016</v>
      </c>
      <c r="AS24" s="9" t="str">
        <f t="shared" si="8"/>
        <v>March</v>
      </c>
      <c r="AT24" s="15" t="s">
        <v>18</v>
      </c>
      <c r="AU24" s="28">
        <f t="shared" si="4"/>
        <v>14</v>
      </c>
      <c r="AV24">
        <f t="shared" si="5"/>
        <v>11</v>
      </c>
      <c r="AW24">
        <f t="shared" si="6"/>
        <v>1</v>
      </c>
      <c r="AX24">
        <f t="shared" si="9"/>
        <v>5</v>
      </c>
      <c r="AY24" s="29">
        <f t="shared" si="10"/>
        <v>31</v>
      </c>
      <c r="AZ24" s="29">
        <f t="shared" si="11"/>
        <v>20</v>
      </c>
      <c r="BA24" s="30">
        <f t="shared" ca="1" si="12"/>
        <v>38483</v>
      </c>
      <c r="BB24" s="30">
        <f t="shared" ca="1" si="13"/>
        <v>1924.15</v>
      </c>
      <c r="BC24" s="30">
        <f t="shared" ca="1" si="14"/>
        <v>21165.65</v>
      </c>
      <c r="BD24" s="30">
        <f t="shared" ca="1" si="15"/>
        <v>17317.349999999999</v>
      </c>
      <c r="BF24" s="34"/>
      <c r="BG24" s="31"/>
      <c r="BH24" s="31"/>
      <c r="BI24" s="31"/>
      <c r="BJ24" s="31"/>
    </row>
    <row r="25" spans="1:62" x14ac:dyDescent="0.3">
      <c r="C25" s="31"/>
      <c r="D25" s="31"/>
      <c r="E25" s="32"/>
      <c r="F25" s="8">
        <v>17</v>
      </c>
      <c r="G25" s="9">
        <v>1017</v>
      </c>
      <c r="H25" s="15" t="s">
        <v>19</v>
      </c>
      <c r="I25" s="17">
        <f t="shared" si="7"/>
        <v>5</v>
      </c>
      <c r="J25" s="18" t="s">
        <v>38</v>
      </c>
      <c r="K25" s="18" t="str">
        <f t="shared" si="17"/>
        <v>WO</v>
      </c>
      <c r="L25" s="18" t="s">
        <v>39</v>
      </c>
      <c r="M25" s="18" t="s">
        <v>38</v>
      </c>
      <c r="N25" s="18" t="s">
        <v>38</v>
      </c>
      <c r="O25" s="18" t="s">
        <v>38</v>
      </c>
      <c r="P25" s="18" t="s">
        <v>38</v>
      </c>
      <c r="Q25" s="18" t="s">
        <v>38</v>
      </c>
      <c r="R25" s="18" t="str">
        <f t="shared" si="17"/>
        <v>WO</v>
      </c>
      <c r="S25" s="18" t="s">
        <v>39</v>
      </c>
      <c r="T25" s="18" t="s">
        <v>38</v>
      </c>
      <c r="U25" s="18" t="s">
        <v>38</v>
      </c>
      <c r="V25" s="18" t="s">
        <v>38</v>
      </c>
      <c r="W25" s="18" t="s">
        <v>38</v>
      </c>
      <c r="X25" s="18" t="s">
        <v>38</v>
      </c>
      <c r="Y25" s="18" t="str">
        <f t="shared" si="17"/>
        <v>WO</v>
      </c>
      <c r="Z25" s="18" t="s">
        <v>39</v>
      </c>
      <c r="AA25" s="18" t="s">
        <v>38</v>
      </c>
      <c r="AB25" s="18" t="s">
        <v>38</v>
      </c>
      <c r="AC25" s="18" t="s">
        <v>38</v>
      </c>
      <c r="AD25" s="18" t="s">
        <v>38</v>
      </c>
      <c r="AE25" s="18" t="s">
        <v>38</v>
      </c>
      <c r="AF25" s="18" t="str">
        <f t="shared" si="16"/>
        <v>WO</v>
      </c>
      <c r="AG25" s="18" t="s">
        <v>39</v>
      </c>
      <c r="AH25" s="18" t="s">
        <v>38</v>
      </c>
      <c r="AI25" s="18" t="s">
        <v>38</v>
      </c>
      <c r="AJ25" s="18" t="s">
        <v>38</v>
      </c>
      <c r="AK25" s="18" t="s">
        <v>38</v>
      </c>
      <c r="AL25" s="18" t="s">
        <v>38</v>
      </c>
      <c r="AM25" s="18" t="str">
        <f t="shared" si="16"/>
        <v>WO</v>
      </c>
      <c r="AN25" s="19" t="s">
        <v>38</v>
      </c>
      <c r="AO25" s="32"/>
      <c r="AP25" s="34"/>
      <c r="AQ25" s="9">
        <v>17</v>
      </c>
      <c r="AR25" s="9">
        <v>1017</v>
      </c>
      <c r="AS25" s="9" t="str">
        <f t="shared" si="8"/>
        <v>March</v>
      </c>
      <c r="AT25" s="15" t="s">
        <v>19</v>
      </c>
      <c r="AU25" s="28">
        <f t="shared" si="4"/>
        <v>22</v>
      </c>
      <c r="AV25">
        <f t="shared" si="5"/>
        <v>4</v>
      </c>
      <c r="AW25">
        <f t="shared" si="6"/>
        <v>0</v>
      </c>
      <c r="AX25">
        <f t="shared" si="9"/>
        <v>5</v>
      </c>
      <c r="AY25" s="29">
        <f t="shared" si="10"/>
        <v>31</v>
      </c>
      <c r="AZ25" s="29">
        <f t="shared" si="11"/>
        <v>27</v>
      </c>
      <c r="BA25" s="30">
        <f t="shared" ca="1" si="12"/>
        <v>10491</v>
      </c>
      <c r="BB25" s="30">
        <f t="shared" ca="1" si="13"/>
        <v>388.55555555555554</v>
      </c>
      <c r="BC25" s="30">
        <f t="shared" ca="1" si="14"/>
        <v>1554.2222222222222</v>
      </c>
      <c r="BD25" s="30">
        <f t="shared" ca="1" si="15"/>
        <v>8936.7777777777774</v>
      </c>
      <c r="BF25" s="34"/>
      <c r="BG25" s="31"/>
      <c r="BH25" s="31"/>
      <c r="BI25" s="31"/>
      <c r="BJ25" s="31"/>
    </row>
    <row r="26" spans="1:62" x14ac:dyDescent="0.3">
      <c r="C26" s="31"/>
      <c r="D26" s="31"/>
      <c r="E26" s="32"/>
      <c r="F26" s="8">
        <v>18</v>
      </c>
      <c r="G26" s="9">
        <v>1018</v>
      </c>
      <c r="H26" s="15" t="s">
        <v>22</v>
      </c>
      <c r="I26" s="17">
        <f t="shared" si="7"/>
        <v>5</v>
      </c>
      <c r="J26" s="18" t="s">
        <v>38</v>
      </c>
      <c r="K26" s="18" t="str">
        <f t="shared" si="17"/>
        <v>WO</v>
      </c>
      <c r="L26" s="18" t="s">
        <v>38</v>
      </c>
      <c r="M26" s="18" t="s">
        <v>38</v>
      </c>
      <c r="N26" s="18" t="s">
        <v>40</v>
      </c>
      <c r="O26" s="18" t="s">
        <v>38</v>
      </c>
      <c r="P26" s="18" t="s">
        <v>38</v>
      </c>
      <c r="Q26" s="18" t="s">
        <v>38</v>
      </c>
      <c r="R26" s="18" t="str">
        <f t="shared" si="17"/>
        <v>WO</v>
      </c>
      <c r="S26" s="18" t="s">
        <v>38</v>
      </c>
      <c r="T26" s="18" t="s">
        <v>38</v>
      </c>
      <c r="U26" s="18" t="s">
        <v>38</v>
      </c>
      <c r="V26" s="18" t="s">
        <v>38</v>
      </c>
      <c r="W26" s="18" t="s">
        <v>38</v>
      </c>
      <c r="X26" s="18" t="s">
        <v>38</v>
      </c>
      <c r="Y26" s="18" t="str">
        <f t="shared" si="17"/>
        <v>WO</v>
      </c>
      <c r="Z26" s="18" t="s">
        <v>38</v>
      </c>
      <c r="AA26" s="18" t="s">
        <v>38</v>
      </c>
      <c r="AB26" s="18" t="s">
        <v>38</v>
      </c>
      <c r="AC26" s="18" t="s">
        <v>40</v>
      </c>
      <c r="AD26" s="18" t="s">
        <v>38</v>
      </c>
      <c r="AE26" s="18" t="s">
        <v>38</v>
      </c>
      <c r="AF26" s="18" t="str">
        <f t="shared" si="16"/>
        <v>WO</v>
      </c>
      <c r="AG26" s="18" t="s">
        <v>38</v>
      </c>
      <c r="AH26" s="18" t="s">
        <v>38</v>
      </c>
      <c r="AI26" s="18" t="s">
        <v>38</v>
      </c>
      <c r="AJ26" s="18" t="s">
        <v>38</v>
      </c>
      <c r="AK26" s="18" t="s">
        <v>38</v>
      </c>
      <c r="AL26" s="18" t="s">
        <v>38</v>
      </c>
      <c r="AM26" s="18" t="str">
        <f t="shared" si="16"/>
        <v>WO</v>
      </c>
      <c r="AN26" s="19" t="s">
        <v>38</v>
      </c>
      <c r="AO26" s="32"/>
      <c r="AP26" s="34"/>
      <c r="AQ26" s="9">
        <v>18</v>
      </c>
      <c r="AR26" s="9">
        <v>1018</v>
      </c>
      <c r="AS26" s="9" t="str">
        <f t="shared" si="8"/>
        <v>March</v>
      </c>
      <c r="AT26" s="15" t="s">
        <v>22</v>
      </c>
      <c r="AU26" s="28">
        <f t="shared" si="4"/>
        <v>24</v>
      </c>
      <c r="AV26">
        <f t="shared" si="5"/>
        <v>0</v>
      </c>
      <c r="AW26">
        <f t="shared" si="6"/>
        <v>2</v>
      </c>
      <c r="AX26">
        <f t="shared" si="9"/>
        <v>5</v>
      </c>
      <c r="AY26" s="29">
        <f t="shared" si="10"/>
        <v>31</v>
      </c>
      <c r="AZ26" s="29">
        <f t="shared" si="11"/>
        <v>31</v>
      </c>
      <c r="BA26" s="30">
        <f t="shared" ca="1" si="12"/>
        <v>19511</v>
      </c>
      <c r="BB26" s="30">
        <f t="shared" ca="1" si="13"/>
        <v>629.38709677419354</v>
      </c>
      <c r="BC26" s="30">
        <f t="shared" ca="1" si="14"/>
        <v>0</v>
      </c>
      <c r="BD26" s="30">
        <f t="shared" ca="1" si="15"/>
        <v>19511</v>
      </c>
      <c r="BF26" s="34"/>
      <c r="BG26" s="31"/>
      <c r="BH26" s="31"/>
      <c r="BI26" s="31"/>
      <c r="BJ26" s="31"/>
    </row>
    <row r="27" spans="1:62" x14ac:dyDescent="0.3">
      <c r="C27" s="31"/>
      <c r="D27" s="31"/>
      <c r="E27" s="32"/>
      <c r="F27" s="8">
        <v>19</v>
      </c>
      <c r="G27" s="9">
        <v>1019</v>
      </c>
      <c r="H27" s="15" t="s">
        <v>20</v>
      </c>
      <c r="I27" s="17">
        <f t="shared" si="7"/>
        <v>5</v>
      </c>
      <c r="J27" s="18" t="s">
        <v>38</v>
      </c>
      <c r="K27" s="18" t="str">
        <f t="shared" si="17"/>
        <v>WO</v>
      </c>
      <c r="L27" s="18" t="s">
        <v>38</v>
      </c>
      <c r="M27" s="18" t="s">
        <v>39</v>
      </c>
      <c r="N27" s="18" t="s">
        <v>38</v>
      </c>
      <c r="O27" s="18" t="s">
        <v>38</v>
      </c>
      <c r="P27" s="18" t="s">
        <v>38</v>
      </c>
      <c r="Q27" s="18" t="s">
        <v>38</v>
      </c>
      <c r="R27" s="18" t="str">
        <f t="shared" si="17"/>
        <v>WO</v>
      </c>
      <c r="S27" s="18" t="s">
        <v>38</v>
      </c>
      <c r="T27" s="18" t="s">
        <v>39</v>
      </c>
      <c r="U27" s="18" t="s">
        <v>38</v>
      </c>
      <c r="V27" s="18" t="s">
        <v>38</v>
      </c>
      <c r="W27" s="18" t="s">
        <v>38</v>
      </c>
      <c r="X27" s="18" t="s">
        <v>38</v>
      </c>
      <c r="Y27" s="18" t="str">
        <f t="shared" si="17"/>
        <v>WO</v>
      </c>
      <c r="Z27" s="18" t="s">
        <v>38</v>
      </c>
      <c r="AA27" s="18" t="s">
        <v>39</v>
      </c>
      <c r="AB27" s="18" t="s">
        <v>38</v>
      </c>
      <c r="AC27" s="18" t="s">
        <v>38</v>
      </c>
      <c r="AD27" s="18" t="s">
        <v>38</v>
      </c>
      <c r="AE27" s="18" t="s">
        <v>38</v>
      </c>
      <c r="AF27" s="18" t="str">
        <f t="shared" si="16"/>
        <v>WO</v>
      </c>
      <c r="AG27" s="18" t="s">
        <v>38</v>
      </c>
      <c r="AH27" s="18" t="s">
        <v>39</v>
      </c>
      <c r="AI27" s="18" t="s">
        <v>38</v>
      </c>
      <c r="AJ27" s="18" t="s">
        <v>38</v>
      </c>
      <c r="AK27" s="18" t="s">
        <v>38</v>
      </c>
      <c r="AL27" s="18" t="s">
        <v>38</v>
      </c>
      <c r="AM27" s="18" t="str">
        <f t="shared" si="16"/>
        <v>WO</v>
      </c>
      <c r="AN27" s="19" t="s">
        <v>38</v>
      </c>
      <c r="AO27" s="32"/>
      <c r="AP27" s="34"/>
      <c r="AQ27" s="9">
        <v>19</v>
      </c>
      <c r="AR27" s="9">
        <v>1019</v>
      </c>
      <c r="AS27" s="9" t="str">
        <f t="shared" si="8"/>
        <v>March</v>
      </c>
      <c r="AT27" s="15" t="s">
        <v>20</v>
      </c>
      <c r="AU27" s="28">
        <f t="shared" si="4"/>
        <v>22</v>
      </c>
      <c r="AV27">
        <f t="shared" si="5"/>
        <v>4</v>
      </c>
      <c r="AW27">
        <f t="shared" si="6"/>
        <v>0</v>
      </c>
      <c r="AX27">
        <f t="shared" si="9"/>
        <v>5</v>
      </c>
      <c r="AY27" s="29">
        <f t="shared" si="10"/>
        <v>31</v>
      </c>
      <c r="AZ27" s="29">
        <f t="shared" si="11"/>
        <v>27</v>
      </c>
      <c r="BA27" s="30">
        <f t="shared" ca="1" si="12"/>
        <v>44110</v>
      </c>
      <c r="BB27" s="30">
        <f t="shared" ca="1" si="13"/>
        <v>1633.7037037037037</v>
      </c>
      <c r="BC27" s="30">
        <f t="shared" ca="1" si="14"/>
        <v>6534.8148148148148</v>
      </c>
      <c r="BD27" s="30">
        <f t="shared" ca="1" si="15"/>
        <v>37575.185185185182</v>
      </c>
      <c r="BF27" s="34"/>
      <c r="BG27" s="31"/>
      <c r="BH27" s="31"/>
      <c r="BI27" s="31"/>
      <c r="BJ27" s="31"/>
    </row>
    <row r="28" spans="1:62" ht="15" thickBot="1" x14ac:dyDescent="0.35">
      <c r="C28" s="31"/>
      <c r="D28" s="31"/>
      <c r="E28" s="32"/>
      <c r="F28" s="10">
        <v>20</v>
      </c>
      <c r="G28" s="11">
        <v>1020</v>
      </c>
      <c r="H28" s="16" t="s">
        <v>21</v>
      </c>
      <c r="I28" s="20">
        <f t="shared" si="7"/>
        <v>5</v>
      </c>
      <c r="J28" s="21" t="s">
        <v>38</v>
      </c>
      <c r="K28" s="21" t="str">
        <f t="shared" si="17"/>
        <v>WO</v>
      </c>
      <c r="L28" s="21" t="s">
        <v>38</v>
      </c>
      <c r="M28" s="21" t="s">
        <v>38</v>
      </c>
      <c r="N28" s="21" t="s">
        <v>38</v>
      </c>
      <c r="O28" s="21" t="s">
        <v>39</v>
      </c>
      <c r="P28" s="21" t="s">
        <v>40</v>
      </c>
      <c r="Q28" s="21" t="s">
        <v>38</v>
      </c>
      <c r="R28" s="21" t="str">
        <f t="shared" si="17"/>
        <v>WO</v>
      </c>
      <c r="S28" s="21" t="s">
        <v>38</v>
      </c>
      <c r="T28" s="21" t="s">
        <v>38</v>
      </c>
      <c r="U28" s="21" t="s">
        <v>38</v>
      </c>
      <c r="V28" s="21" t="s">
        <v>39</v>
      </c>
      <c r="W28" s="21" t="s">
        <v>38</v>
      </c>
      <c r="X28" s="21" t="s">
        <v>38</v>
      </c>
      <c r="Y28" s="21" t="str">
        <f t="shared" si="17"/>
        <v>WO</v>
      </c>
      <c r="Z28" s="21" t="s">
        <v>38</v>
      </c>
      <c r="AA28" s="21" t="s">
        <v>38</v>
      </c>
      <c r="AB28" s="21" t="s">
        <v>38</v>
      </c>
      <c r="AC28" s="21" t="s">
        <v>39</v>
      </c>
      <c r="AD28" s="21" t="s">
        <v>38</v>
      </c>
      <c r="AE28" s="21" t="s">
        <v>38</v>
      </c>
      <c r="AF28" s="21" t="str">
        <f t="shared" si="16"/>
        <v>WO</v>
      </c>
      <c r="AG28" s="21" t="s">
        <v>38</v>
      </c>
      <c r="AH28" s="21" t="s">
        <v>38</v>
      </c>
      <c r="AI28" s="21" t="s">
        <v>38</v>
      </c>
      <c r="AJ28" s="21" t="s">
        <v>40</v>
      </c>
      <c r="AK28" s="21" t="s">
        <v>38</v>
      </c>
      <c r="AL28" s="21" t="s">
        <v>38</v>
      </c>
      <c r="AM28" s="21" t="str">
        <f t="shared" si="16"/>
        <v>WO</v>
      </c>
      <c r="AN28" s="22" t="s">
        <v>38</v>
      </c>
      <c r="AO28" s="32"/>
      <c r="AP28" s="34"/>
      <c r="AQ28" s="9">
        <v>20</v>
      </c>
      <c r="AR28" s="9">
        <v>1020</v>
      </c>
      <c r="AS28" s="9" t="str">
        <f t="shared" si="8"/>
        <v>March</v>
      </c>
      <c r="AT28" s="15" t="s">
        <v>21</v>
      </c>
      <c r="AU28" s="28">
        <f t="shared" si="4"/>
        <v>21</v>
      </c>
      <c r="AV28">
        <f t="shared" si="5"/>
        <v>3</v>
      </c>
      <c r="AW28">
        <f t="shared" si="6"/>
        <v>2</v>
      </c>
      <c r="AX28">
        <f t="shared" si="9"/>
        <v>5</v>
      </c>
      <c r="AY28" s="29">
        <f t="shared" si="10"/>
        <v>31</v>
      </c>
      <c r="AZ28" s="29">
        <f t="shared" si="11"/>
        <v>28</v>
      </c>
      <c r="BA28" s="30">
        <f t="shared" ca="1" si="12"/>
        <v>24040</v>
      </c>
      <c r="BB28" s="30">
        <f t="shared" ca="1" si="13"/>
        <v>858.57142857142856</v>
      </c>
      <c r="BC28" s="30">
        <f t="shared" ca="1" si="14"/>
        <v>2575.7142857142858</v>
      </c>
      <c r="BD28" s="30">
        <f t="shared" ca="1" si="15"/>
        <v>21464.285714285714</v>
      </c>
      <c r="BF28" s="34"/>
      <c r="BG28" s="31"/>
      <c r="BH28" s="31"/>
      <c r="BI28" s="31"/>
      <c r="BJ28" s="31"/>
    </row>
    <row r="29" spans="1:62" x14ac:dyDescent="0.3">
      <c r="A29" s="31"/>
      <c r="B29" s="31"/>
      <c r="C29" s="31"/>
      <c r="D29" s="31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1"/>
      <c r="BH29" s="31"/>
      <c r="BI29" s="31"/>
      <c r="BJ29" s="31"/>
    </row>
    <row r="30" spans="1:62" x14ac:dyDescent="0.3">
      <c r="A30" s="31"/>
      <c r="B30" s="31"/>
      <c r="C30" s="31"/>
      <c r="D30" s="31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1"/>
      <c r="BH30" s="31"/>
      <c r="BI30" s="31"/>
      <c r="BJ30" s="31"/>
    </row>
    <row r="31" spans="1:62" x14ac:dyDescent="0.3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</row>
    <row r="32" spans="1:62" x14ac:dyDescent="0.3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</row>
    <row r="33" spans="1:62" x14ac:dyDescent="0.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</row>
    <row r="34" spans="1:62" x14ac:dyDescent="0.3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</row>
    <row r="35" spans="1:62" x14ac:dyDescent="0.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</row>
    <row r="36" spans="1:62" x14ac:dyDescent="0.3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</row>
    <row r="37" spans="1:62" x14ac:dyDescent="0.3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</row>
    <row r="38" spans="1:62" x14ac:dyDescent="0.3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</row>
    <row r="39" spans="1:62" x14ac:dyDescent="0.3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</row>
    <row r="40" spans="1:62" x14ac:dyDescent="0.3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</row>
    <row r="41" spans="1:62" x14ac:dyDescent="0.3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</row>
    <row r="42" spans="1:62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</row>
    <row r="43" spans="1:62" x14ac:dyDescent="0.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</row>
    <row r="44" spans="1:62" x14ac:dyDescent="0.3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</row>
    <row r="45" spans="1:62" x14ac:dyDescent="0.3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</row>
    <row r="46" spans="1:62" x14ac:dyDescent="0.3">
      <c r="AO46" s="31"/>
      <c r="AP46" s="31"/>
      <c r="BF46" s="31"/>
      <c r="BG46" s="31"/>
      <c r="BH46" s="31"/>
      <c r="BI46" s="31"/>
      <c r="BJ46" s="31"/>
    </row>
    <row r="47" spans="1:62" x14ac:dyDescent="0.3">
      <c r="AO47" s="31"/>
      <c r="AP47" s="31"/>
      <c r="BF47" s="31"/>
      <c r="BG47" s="31"/>
      <c r="BH47" s="31"/>
      <c r="BI47" s="31"/>
      <c r="BJ47" s="31"/>
    </row>
    <row r="48" spans="1:62" x14ac:dyDescent="0.3">
      <c r="AO48" s="31"/>
      <c r="AP48" s="31"/>
      <c r="BF48" s="31"/>
      <c r="BG48" s="31"/>
      <c r="BH48" s="31"/>
      <c r="BI48" s="31"/>
      <c r="BJ48" s="31"/>
    </row>
    <row r="49" spans="41:62" x14ac:dyDescent="0.3">
      <c r="AO49" s="31"/>
      <c r="AP49" s="31"/>
      <c r="BF49" s="31"/>
      <c r="BG49" s="31"/>
      <c r="BH49" s="31"/>
      <c r="BI49" s="31"/>
      <c r="BJ49" s="31"/>
    </row>
  </sheetData>
  <conditionalFormatting sqref="J9:J28">
    <cfRule type="containsText" dxfId="331" priority="40" operator="containsText" text="WO">
      <formula>NOT(ISERROR(SEARCH("WO",J9)))</formula>
    </cfRule>
    <cfRule type="containsText" dxfId="330" priority="39" operator="containsText" text="P">
      <formula>NOT(ISERROR(SEARCH("P",J9)))</formula>
    </cfRule>
    <cfRule type="containsText" dxfId="329" priority="38" operator="containsText" text="A">
      <formula>NOT(ISERROR(SEARCH("A",J9)))</formula>
    </cfRule>
    <cfRule type="containsText" dxfId="328" priority="37" operator="containsText" text="L">
      <formula>NOT(ISERROR(SEARCH("L",J9)))</formula>
    </cfRule>
  </conditionalFormatting>
  <conditionalFormatting sqref="K9:K28 R9:R28 Y9:Y28 AF9:AF28 AM9:AM28">
    <cfRule type="containsText" dxfId="327" priority="77" operator="containsText" text="WO">
      <formula>NOT(ISERROR(SEARCH("WO",K9)))</formula>
    </cfRule>
    <cfRule type="containsText" dxfId="326" priority="76" operator="containsText" text="P">
      <formula>NOT(ISERROR(SEARCH("P",K9)))</formula>
    </cfRule>
    <cfRule type="containsText" dxfId="325" priority="75" operator="containsText" text="A">
      <formula>NOT(ISERROR(SEARCH("A",K9)))</formula>
    </cfRule>
    <cfRule type="containsText" dxfId="324" priority="74" operator="containsText" text="L">
      <formula>NOT(ISERROR(SEARCH("L",K9)))</formula>
    </cfRule>
    <cfRule type="containsText" dxfId="323" priority="73" operator="containsText" text="P">
      <formula>NOT(ISERROR(SEARCH("P",K9)))</formula>
    </cfRule>
    <cfRule type="containsText" dxfId="322" priority="59" operator="containsText" text="P">
      <formula>NOT(ISERROR(SEARCH("P",K9)))</formula>
    </cfRule>
    <cfRule type="containsText" dxfId="321" priority="58" operator="containsText" text="A">
      <formula>NOT(ISERROR(SEARCH("A",K9)))</formula>
    </cfRule>
    <cfRule type="containsText" dxfId="320" priority="57" operator="containsText" text="L">
      <formula>NOT(ISERROR(SEARCH("L",K9)))</formula>
    </cfRule>
  </conditionalFormatting>
  <conditionalFormatting sqref="L9:Q28">
    <cfRule type="containsText" dxfId="319" priority="29" operator="containsText" text="L">
      <formula>NOT(ISERROR(SEARCH("L",L9)))</formula>
    </cfRule>
    <cfRule type="containsText" dxfId="318" priority="30" operator="containsText" text="A">
      <formula>NOT(ISERROR(SEARCH("A",L9)))</formula>
    </cfRule>
    <cfRule type="containsText" dxfId="317" priority="31" operator="containsText" text="P">
      <formula>NOT(ISERROR(SEARCH("P",L9)))</formula>
    </cfRule>
    <cfRule type="containsText" dxfId="316" priority="32" operator="containsText" text="WO">
      <formula>NOT(ISERROR(SEARCH("WO",L9)))</formula>
    </cfRule>
  </conditionalFormatting>
  <conditionalFormatting sqref="R9:R28 Y9:Y28 AF9:AF28 AM9:AM28 K9:K28">
    <cfRule type="containsText" dxfId="315" priority="69" operator="containsText" text="A">
      <formula>NOT(ISERROR(SEARCH("A",K9)))</formula>
    </cfRule>
  </conditionalFormatting>
  <conditionalFormatting sqref="R9:R28">
    <cfRule type="containsText" dxfId="314" priority="68" operator="containsText" text="P">
      <formula>NOT(ISERROR(SEARCH("P",R9)))</formula>
    </cfRule>
  </conditionalFormatting>
  <conditionalFormatting sqref="S9:X28">
    <cfRule type="containsText" dxfId="313" priority="24" operator="containsText" text="WO">
      <formula>NOT(ISERROR(SEARCH("WO",S9)))</formula>
    </cfRule>
    <cfRule type="containsText" dxfId="312" priority="23" operator="containsText" text="P">
      <formula>NOT(ISERROR(SEARCH("P",S9)))</formula>
    </cfRule>
    <cfRule type="containsText" dxfId="311" priority="22" operator="containsText" text="A">
      <formula>NOT(ISERROR(SEARCH("A",S9)))</formula>
    </cfRule>
    <cfRule type="containsText" dxfId="310" priority="21" operator="containsText" text="L">
      <formula>NOT(ISERROR(SEARCH("L",S9)))</formula>
    </cfRule>
  </conditionalFormatting>
  <conditionalFormatting sqref="Y9:Y28">
    <cfRule type="containsText" dxfId="309" priority="65" operator="containsText" text="P">
      <formula>NOT(ISERROR(SEARCH("P",Y9)))</formula>
    </cfRule>
  </conditionalFormatting>
  <conditionalFormatting sqref="Z9:AE28">
    <cfRule type="containsText" dxfId="308" priority="16" operator="containsText" text="WO">
      <formula>NOT(ISERROR(SEARCH("WO",Z9)))</formula>
    </cfRule>
    <cfRule type="containsText" dxfId="307" priority="15" operator="containsText" text="P">
      <formula>NOT(ISERROR(SEARCH("P",Z9)))</formula>
    </cfRule>
    <cfRule type="containsText" dxfId="306" priority="14" operator="containsText" text="A">
      <formula>NOT(ISERROR(SEARCH("A",Z9)))</formula>
    </cfRule>
    <cfRule type="containsText" dxfId="305" priority="13" operator="containsText" text="L">
      <formula>NOT(ISERROR(SEARCH("L",Z9)))</formula>
    </cfRule>
  </conditionalFormatting>
  <conditionalFormatting sqref="AF9:AF28">
    <cfRule type="containsText" dxfId="304" priority="63" operator="containsText" text="P">
      <formula>NOT(ISERROR(SEARCH("P",AF9)))</formula>
    </cfRule>
  </conditionalFormatting>
  <conditionalFormatting sqref="AG9:AL28">
    <cfRule type="containsText" dxfId="303" priority="5" operator="containsText" text="L">
      <formula>NOT(ISERROR(SEARCH("L",AG9)))</formula>
    </cfRule>
    <cfRule type="containsText" dxfId="302" priority="8" operator="containsText" text="WO">
      <formula>NOT(ISERROR(SEARCH("WO",AG9)))</formula>
    </cfRule>
    <cfRule type="containsText" dxfId="301" priority="7" operator="containsText" text="P">
      <formula>NOT(ISERROR(SEARCH("P",AG9)))</formula>
    </cfRule>
    <cfRule type="containsText" dxfId="300" priority="6" operator="containsText" text="A">
      <formula>NOT(ISERROR(SEARCH("A",AG9)))</formula>
    </cfRule>
  </conditionalFormatting>
  <conditionalFormatting sqref="AM9:AM28">
    <cfRule type="containsText" dxfId="299" priority="61" operator="containsText" text="P">
      <formula>NOT(ISERROR(SEARCH("P",AM9)))</formula>
    </cfRule>
  </conditionalFormatting>
  <conditionalFormatting sqref="AN9:AN28">
    <cfRule type="containsText" dxfId="298" priority="2" operator="containsText" text="A">
      <formula>NOT(ISERROR(SEARCH("A",AN9)))</formula>
    </cfRule>
    <cfRule type="containsText" dxfId="297" priority="3" operator="containsText" text="P">
      <formula>NOT(ISERROR(SEARCH("P",AN9)))</formula>
    </cfRule>
    <cfRule type="containsText" dxfId="296" priority="4" operator="containsText" text="WO">
      <formula>NOT(ISERROR(SEARCH("WO",AN9)))</formula>
    </cfRule>
    <cfRule type="containsText" dxfId="295" priority="1" operator="containsText" text="L">
      <formula>NOT(ISERROR(SEARCH("L",AN9)))</formula>
    </cfRule>
  </conditionalFormatting>
  <dataValidations count="1">
    <dataValidation type="list" allowBlank="1" showInputMessage="1" showErrorMessage="1" sqref="F7:I28 J7:AN8 AN9:AN28 S9:X28 Z9:AE28 AG9:AL28 J9:J28 L9:Q28" xr:uid="{1889F79C-2223-4547-B4D5-FB7248990A58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DE02603-BC0F-42EE-90FD-943E66F5928D}">
          <x14:formula1>
            <xm:f>Rough!$A$1:$A$12</xm:f>
          </x14:formula1>
          <xm:sqref>G5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990A58E4-2622-44CF-8EAE-024524108B5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March!AU9:AX9</xm:f>
              <xm:sqref>BE9</xm:sqref>
            </x14:sparkline>
            <x14:sparkline>
              <xm:f>March!AU10:AX10</xm:f>
              <xm:sqref>BE10</xm:sqref>
            </x14:sparkline>
            <x14:sparkline>
              <xm:f>March!AU11:AX11</xm:f>
              <xm:sqref>BE11</xm:sqref>
            </x14:sparkline>
            <x14:sparkline>
              <xm:f>March!AU12:AX12</xm:f>
              <xm:sqref>BE12</xm:sqref>
            </x14:sparkline>
            <x14:sparkline>
              <xm:f>March!AU13:AX13</xm:f>
              <xm:sqref>BE13</xm:sqref>
            </x14:sparkline>
            <x14:sparkline>
              <xm:f>March!AU14:AX14</xm:f>
              <xm:sqref>BE14</xm:sqref>
            </x14:sparkline>
            <x14:sparkline>
              <xm:f>March!AU15:AX15</xm:f>
              <xm:sqref>BE15</xm:sqref>
            </x14:sparkline>
            <x14:sparkline>
              <xm:f>March!AU16:AX16</xm:f>
              <xm:sqref>BE16</xm:sqref>
            </x14:sparkline>
            <x14:sparkline>
              <xm:f>March!AU17:AX17</xm:f>
              <xm:sqref>BE17</xm:sqref>
            </x14:sparkline>
            <x14:sparkline>
              <xm:f>March!AU18:AX18</xm:f>
              <xm:sqref>BE18</xm:sqref>
            </x14:sparkline>
            <x14:sparkline>
              <xm:f>March!AU19:AX19</xm:f>
              <xm:sqref>BE19</xm:sqref>
            </x14:sparkline>
            <x14:sparkline>
              <xm:f>March!AU20:AX20</xm:f>
              <xm:sqref>BE20</xm:sqref>
            </x14:sparkline>
            <x14:sparkline>
              <xm:f>March!AU21:AX21</xm:f>
              <xm:sqref>BE21</xm:sqref>
            </x14:sparkline>
            <x14:sparkline>
              <xm:f>March!AU22:AX22</xm:f>
              <xm:sqref>BE22</xm:sqref>
            </x14:sparkline>
            <x14:sparkline>
              <xm:f>March!AU23:AX23</xm:f>
              <xm:sqref>BE23</xm:sqref>
            </x14:sparkline>
            <x14:sparkline>
              <xm:f>March!AU24:AX24</xm:f>
              <xm:sqref>BE24</xm:sqref>
            </x14:sparkline>
            <x14:sparkline>
              <xm:f>March!AU25:AX25</xm:f>
              <xm:sqref>BE25</xm:sqref>
            </x14:sparkline>
            <x14:sparkline>
              <xm:f>March!AU26:AX26</xm:f>
              <xm:sqref>BE26</xm:sqref>
            </x14:sparkline>
            <x14:sparkline>
              <xm:f>March!AU27:AX27</xm:f>
              <xm:sqref>BE27</xm:sqref>
            </x14:sparkline>
            <x14:sparkline>
              <xm:f>March!AU28:AX28</xm:f>
              <xm:sqref>BE28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BDB1D-4627-4B9D-A01B-3280FF897F9C}">
  <dimension ref="A1:BJ49"/>
  <sheetViews>
    <sheetView tabSelected="1" topLeftCell="A10" workbookViewId="0">
      <selection activeCell="M13" sqref="M13"/>
    </sheetView>
  </sheetViews>
  <sheetFormatPr defaultRowHeight="14.4" x14ac:dyDescent="0.3"/>
  <cols>
    <col min="6" max="6" width="6.33203125" bestFit="1" customWidth="1"/>
    <col min="7" max="7" width="14.33203125" bestFit="1" customWidth="1"/>
    <col min="8" max="8" width="18.77734375" bestFit="1" customWidth="1"/>
    <col min="9" max="9" width="10.5546875" bestFit="1" customWidth="1"/>
    <col min="10" max="10" width="5.5546875" customWidth="1"/>
    <col min="11" max="11" width="4" bestFit="1" customWidth="1"/>
    <col min="12" max="12" width="3.88671875" customWidth="1"/>
    <col min="13" max="13" width="3.5546875" bestFit="1" customWidth="1"/>
    <col min="14" max="14" width="3.88671875" bestFit="1" customWidth="1"/>
    <col min="15" max="15" width="4.77734375" bestFit="1" customWidth="1"/>
    <col min="16" max="16" width="4" bestFit="1" customWidth="1"/>
    <col min="17" max="17" width="4.77734375" bestFit="1" customWidth="1"/>
    <col min="18" max="18" width="4" bestFit="1" customWidth="1"/>
    <col min="19" max="19" width="3.44140625" customWidth="1"/>
    <col min="20" max="20" width="3.5546875" bestFit="1" customWidth="1"/>
    <col min="21" max="21" width="3.88671875" bestFit="1" customWidth="1"/>
    <col min="22" max="22" width="4.77734375" bestFit="1" customWidth="1"/>
    <col min="23" max="23" width="4" bestFit="1" customWidth="1"/>
    <col min="24" max="24" width="4.77734375" bestFit="1" customWidth="1"/>
    <col min="25" max="25" width="4" bestFit="1" customWidth="1"/>
    <col min="26" max="26" width="3.44140625" customWidth="1"/>
    <col min="27" max="27" width="3.5546875" bestFit="1" customWidth="1"/>
    <col min="28" max="28" width="3.88671875" bestFit="1" customWidth="1"/>
    <col min="29" max="29" width="4.77734375" bestFit="1" customWidth="1"/>
    <col min="30" max="30" width="4" bestFit="1" customWidth="1"/>
    <col min="31" max="31" width="4.77734375" bestFit="1" customWidth="1"/>
    <col min="32" max="32" width="4" bestFit="1" customWidth="1"/>
    <col min="33" max="33" width="4" customWidth="1"/>
    <col min="34" max="34" width="3.5546875" bestFit="1" customWidth="1"/>
    <col min="35" max="35" width="3.88671875" bestFit="1" customWidth="1"/>
    <col min="36" max="36" width="4.77734375" bestFit="1" customWidth="1"/>
    <col min="37" max="37" width="4" bestFit="1" customWidth="1"/>
    <col min="38" max="38" width="4.77734375" bestFit="1" customWidth="1"/>
    <col min="39" max="39" width="4" bestFit="1" customWidth="1"/>
    <col min="40" max="40" width="3.44140625" customWidth="1"/>
    <col min="44" max="44" width="16" customWidth="1"/>
    <col min="45" max="45" width="13.6640625" customWidth="1"/>
    <col min="46" max="46" width="20.33203125" customWidth="1"/>
    <col min="47" max="47" width="11" customWidth="1"/>
    <col min="48" max="48" width="10.33203125" customWidth="1"/>
    <col min="49" max="49" width="9.109375" customWidth="1"/>
    <col min="50" max="50" width="13" customWidth="1"/>
    <col min="51" max="51" width="8" customWidth="1"/>
    <col min="52" max="52" width="13.6640625" customWidth="1"/>
    <col min="53" max="53" width="11.5546875" bestFit="1" customWidth="1"/>
    <col min="54" max="54" width="17.77734375" customWidth="1"/>
    <col min="55" max="55" width="13.88671875" customWidth="1"/>
    <col min="56" max="56" width="15.21875" customWidth="1"/>
    <col min="57" max="57" width="12.77734375" customWidth="1"/>
  </cols>
  <sheetData>
    <row r="1" spans="1:62" x14ac:dyDescent="0.3">
      <c r="AP1" s="31"/>
      <c r="BF1" s="31"/>
      <c r="BG1" s="31"/>
      <c r="BH1" s="31"/>
      <c r="BI1" s="31"/>
      <c r="BJ1" s="31"/>
    </row>
    <row r="2" spans="1:62" x14ac:dyDescent="0.3">
      <c r="AP2" s="31"/>
      <c r="BF2" s="31"/>
      <c r="BG2" s="31"/>
      <c r="BH2" s="31"/>
      <c r="BI2" s="31"/>
      <c r="BJ2" s="31"/>
    </row>
    <row r="3" spans="1:62" x14ac:dyDescent="0.3">
      <c r="AP3" s="31"/>
      <c r="BF3" s="31"/>
      <c r="BG3" s="31"/>
      <c r="BH3" s="31"/>
      <c r="BI3" s="31"/>
      <c r="BJ3" s="31"/>
    </row>
    <row r="4" spans="1:62" x14ac:dyDescent="0.3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</row>
    <row r="5" spans="1:62" x14ac:dyDescent="0.3">
      <c r="A5" s="31"/>
      <c r="B5" s="31"/>
      <c r="C5" s="31"/>
      <c r="D5" s="31"/>
      <c r="E5" s="35" t="str">
        <f>TEXT(G5,"mmmm")</f>
        <v>April</v>
      </c>
      <c r="F5" s="35" t="s">
        <v>26</v>
      </c>
      <c r="G5" s="36">
        <v>45748</v>
      </c>
      <c r="H5" s="37">
        <f>(DATEDIF($G$5,$J$5,"D"))+1</f>
        <v>30</v>
      </c>
      <c r="I5" s="35" t="s">
        <v>27</v>
      </c>
      <c r="J5" s="36">
        <f>EOMONTH(G5,0)</f>
        <v>45777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</row>
    <row r="6" spans="1:62" ht="15" thickBot="1" x14ac:dyDescent="0.35">
      <c r="A6" s="31"/>
      <c r="B6" s="31"/>
      <c r="C6" s="31"/>
      <c r="D6" s="31"/>
      <c r="E6" s="32"/>
      <c r="F6" s="32"/>
      <c r="G6" s="32"/>
      <c r="H6" s="32"/>
      <c r="I6" s="32"/>
      <c r="J6" s="33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1"/>
      <c r="BH6" s="31"/>
      <c r="BI6" s="31"/>
      <c r="BJ6" s="31"/>
    </row>
    <row r="7" spans="1:62" ht="15" thickBot="1" x14ac:dyDescent="0.35">
      <c r="C7" s="31"/>
      <c r="D7" s="31"/>
      <c r="E7" s="32"/>
      <c r="F7" s="5"/>
      <c r="G7" s="6" t="s">
        <v>29</v>
      </c>
      <c r="H7" s="7"/>
      <c r="I7" s="5" t="s">
        <v>28</v>
      </c>
      <c r="J7" s="23" t="str">
        <f>TEXT(J8,"DDD")</f>
        <v>Tue</v>
      </c>
      <c r="K7" s="23" t="str">
        <f>TEXT(K8,"DDD")</f>
        <v>Wed</v>
      </c>
      <c r="L7" s="23" t="str">
        <f t="shared" ref="L7:AI7" si="0">TEXT(L8,"DDD")</f>
        <v>Thu</v>
      </c>
      <c r="M7" s="23" t="str">
        <f t="shared" si="0"/>
        <v>Fri</v>
      </c>
      <c r="N7" s="23" t="str">
        <f t="shared" si="0"/>
        <v>Sat</v>
      </c>
      <c r="O7" s="23" t="str">
        <f t="shared" si="0"/>
        <v>Sun</v>
      </c>
      <c r="P7" s="23" t="str">
        <f t="shared" si="0"/>
        <v>Mon</v>
      </c>
      <c r="Q7" s="23" t="str">
        <f t="shared" si="0"/>
        <v>Tue</v>
      </c>
      <c r="R7" s="23" t="str">
        <f t="shared" si="0"/>
        <v>Wed</v>
      </c>
      <c r="S7" s="23" t="str">
        <f t="shared" si="0"/>
        <v>Thu</v>
      </c>
      <c r="T7" s="23" t="str">
        <f t="shared" si="0"/>
        <v>Fri</v>
      </c>
      <c r="U7" s="23" t="str">
        <f t="shared" si="0"/>
        <v>Sat</v>
      </c>
      <c r="V7" s="23" t="str">
        <f t="shared" si="0"/>
        <v>Sun</v>
      </c>
      <c r="W7" s="23" t="str">
        <f t="shared" si="0"/>
        <v>Mon</v>
      </c>
      <c r="X7" s="23" t="str">
        <f t="shared" si="0"/>
        <v>Tue</v>
      </c>
      <c r="Y7" s="23" t="str">
        <f t="shared" si="0"/>
        <v>Wed</v>
      </c>
      <c r="Z7" s="23" t="str">
        <f t="shared" si="0"/>
        <v>Thu</v>
      </c>
      <c r="AA7" s="23" t="str">
        <f t="shared" si="0"/>
        <v>Fri</v>
      </c>
      <c r="AB7" s="23" t="str">
        <f t="shared" si="0"/>
        <v>Sat</v>
      </c>
      <c r="AC7" s="23" t="str">
        <f t="shared" si="0"/>
        <v>Sun</v>
      </c>
      <c r="AD7" s="23" t="str">
        <f t="shared" si="0"/>
        <v>Mon</v>
      </c>
      <c r="AE7" s="23" t="str">
        <f t="shared" si="0"/>
        <v>Tue</v>
      </c>
      <c r="AF7" s="23" t="str">
        <f t="shared" si="0"/>
        <v>Wed</v>
      </c>
      <c r="AG7" s="23" t="str">
        <f t="shared" si="0"/>
        <v>Thu</v>
      </c>
      <c r="AH7" s="23" t="str">
        <f t="shared" si="0"/>
        <v>Fri</v>
      </c>
      <c r="AI7" s="23" t="str">
        <f t="shared" si="0"/>
        <v>Sat</v>
      </c>
      <c r="AJ7" s="23" t="str">
        <f>TEXT(AJ8,"DDD")</f>
        <v>Sun</v>
      </c>
      <c r="AK7" s="23" t="str">
        <f>TEXT(AK8,"DDD")</f>
        <v>Mon</v>
      </c>
      <c r="AL7" s="23" t="str">
        <f t="shared" ref="AL7:AN7" si="1">TEXT(AL8,"DDD")</f>
        <v>Tue</v>
      </c>
      <c r="AM7" s="23" t="str">
        <f t="shared" si="1"/>
        <v>Wed</v>
      </c>
      <c r="AN7" s="24" t="str">
        <f t="shared" si="1"/>
        <v/>
      </c>
      <c r="AO7" s="32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1"/>
      <c r="BH7" s="31"/>
      <c r="BI7" s="31"/>
      <c r="BJ7" s="31"/>
    </row>
    <row r="8" spans="1:62" ht="18.600000000000001" thickBot="1" x14ac:dyDescent="0.4">
      <c r="C8" s="31"/>
      <c r="D8" s="31"/>
      <c r="E8" s="32"/>
      <c r="F8" s="12" t="s">
        <v>23</v>
      </c>
      <c r="G8" s="13" t="s">
        <v>2</v>
      </c>
      <c r="H8" s="14" t="s">
        <v>24</v>
      </c>
      <c r="I8" s="25" t="s">
        <v>25</v>
      </c>
      <c r="J8" s="26">
        <f>G5</f>
        <v>45748</v>
      </c>
      <c r="K8" s="26">
        <f>IF(J8&lt;$J$5,J8+1,"")</f>
        <v>45749</v>
      </c>
      <c r="L8" s="26">
        <f t="shared" ref="L8:AN8" si="2">IF(K8&lt;$J$5,K8+1,"")</f>
        <v>45750</v>
      </c>
      <c r="M8" s="26">
        <f t="shared" si="2"/>
        <v>45751</v>
      </c>
      <c r="N8" s="26">
        <f t="shared" si="2"/>
        <v>45752</v>
      </c>
      <c r="O8" s="26">
        <f t="shared" si="2"/>
        <v>45753</v>
      </c>
      <c r="P8" s="26">
        <f t="shared" si="2"/>
        <v>45754</v>
      </c>
      <c r="Q8" s="26">
        <f t="shared" si="2"/>
        <v>45755</v>
      </c>
      <c r="R8" s="26">
        <f t="shared" si="2"/>
        <v>45756</v>
      </c>
      <c r="S8" s="26">
        <f t="shared" si="2"/>
        <v>45757</v>
      </c>
      <c r="T8" s="26">
        <f t="shared" si="2"/>
        <v>45758</v>
      </c>
      <c r="U8" s="26">
        <f t="shared" si="2"/>
        <v>45759</v>
      </c>
      <c r="V8" s="26">
        <f t="shared" si="2"/>
        <v>45760</v>
      </c>
      <c r="W8" s="26">
        <f t="shared" si="2"/>
        <v>45761</v>
      </c>
      <c r="X8" s="26">
        <f t="shared" si="2"/>
        <v>45762</v>
      </c>
      <c r="Y8" s="26">
        <f t="shared" si="2"/>
        <v>45763</v>
      </c>
      <c r="Z8" s="26">
        <f t="shared" si="2"/>
        <v>45764</v>
      </c>
      <c r="AA8" s="26">
        <f t="shared" si="2"/>
        <v>45765</v>
      </c>
      <c r="AB8" s="26">
        <f t="shared" si="2"/>
        <v>45766</v>
      </c>
      <c r="AC8" s="26">
        <f t="shared" si="2"/>
        <v>45767</v>
      </c>
      <c r="AD8" s="26">
        <f t="shared" si="2"/>
        <v>45768</v>
      </c>
      <c r="AE8" s="26">
        <f t="shared" si="2"/>
        <v>45769</v>
      </c>
      <c r="AF8" s="26">
        <f t="shared" si="2"/>
        <v>45770</v>
      </c>
      <c r="AG8" s="26">
        <f t="shared" si="2"/>
        <v>45771</v>
      </c>
      <c r="AH8" s="26">
        <f t="shared" si="2"/>
        <v>45772</v>
      </c>
      <c r="AI8" s="26">
        <f t="shared" si="2"/>
        <v>45773</v>
      </c>
      <c r="AJ8" s="26">
        <f t="shared" si="2"/>
        <v>45774</v>
      </c>
      <c r="AK8" s="26">
        <f t="shared" si="2"/>
        <v>45775</v>
      </c>
      <c r="AL8" s="26">
        <f t="shared" si="2"/>
        <v>45776</v>
      </c>
      <c r="AM8" s="26">
        <f t="shared" si="2"/>
        <v>45777</v>
      </c>
      <c r="AN8" s="27" t="str">
        <f t="shared" si="2"/>
        <v/>
      </c>
      <c r="AO8" s="32"/>
      <c r="AP8" s="34"/>
      <c r="AQ8" s="38" t="s">
        <v>23</v>
      </c>
      <c r="AR8" s="38" t="s">
        <v>2</v>
      </c>
      <c r="AS8" s="38" t="s">
        <v>42</v>
      </c>
      <c r="AT8" s="39" t="s">
        <v>24</v>
      </c>
      <c r="AU8" s="40" t="s">
        <v>30</v>
      </c>
      <c r="AV8" s="38" t="s">
        <v>31</v>
      </c>
      <c r="AW8" s="38" t="s">
        <v>32</v>
      </c>
      <c r="AX8" s="38" t="s">
        <v>25</v>
      </c>
      <c r="AY8" s="38" t="s">
        <v>28</v>
      </c>
      <c r="AZ8" s="38" t="s">
        <v>33</v>
      </c>
      <c r="BA8" s="38" t="s">
        <v>34</v>
      </c>
      <c r="BB8" s="38" t="s">
        <v>35</v>
      </c>
      <c r="BC8" s="40" t="s">
        <v>36</v>
      </c>
      <c r="BD8" s="38" t="s">
        <v>37</v>
      </c>
      <c r="BE8" s="38" t="s">
        <v>41</v>
      </c>
      <c r="BF8" s="34"/>
      <c r="BG8" s="31"/>
      <c r="BH8" s="31"/>
      <c r="BI8" s="31"/>
      <c r="BJ8" s="31"/>
    </row>
    <row r="9" spans="1:62" x14ac:dyDescent="0.3">
      <c r="C9" s="31"/>
      <c r="D9" s="31"/>
      <c r="E9" s="32"/>
      <c r="F9" s="8">
        <v>1</v>
      </c>
      <c r="G9" s="9">
        <v>1001</v>
      </c>
      <c r="H9" s="15" t="s">
        <v>3</v>
      </c>
      <c r="I9" s="17">
        <f>COUNTIF($J$7:$AN$7,"Sun")</f>
        <v>4</v>
      </c>
      <c r="J9" s="18" t="s">
        <v>38</v>
      </c>
      <c r="K9" s="18" t="s">
        <v>38</v>
      </c>
      <c r="L9" s="18" t="s">
        <v>38</v>
      </c>
      <c r="M9" s="18" t="s">
        <v>38</v>
      </c>
      <c r="N9" s="18" t="s">
        <v>38</v>
      </c>
      <c r="O9" s="18" t="str">
        <f t="shared" ref="O9:AN17" si="3">IF(O$7="Sun","WO","")</f>
        <v>WO</v>
      </c>
      <c r="P9" s="18" t="s">
        <v>38</v>
      </c>
      <c r="Q9" s="18" t="s">
        <v>38</v>
      </c>
      <c r="R9" s="18" t="s">
        <v>38</v>
      </c>
      <c r="S9" s="18" t="s">
        <v>38</v>
      </c>
      <c r="T9" s="18" t="s">
        <v>38</v>
      </c>
      <c r="U9" s="18" t="s">
        <v>38</v>
      </c>
      <c r="V9" s="18" t="str">
        <f t="shared" si="3"/>
        <v>WO</v>
      </c>
      <c r="W9" s="18" t="s">
        <v>38</v>
      </c>
      <c r="X9" s="18" t="s">
        <v>38</v>
      </c>
      <c r="Y9" s="18" t="s">
        <v>38</v>
      </c>
      <c r="Z9" s="18" t="s">
        <v>38</v>
      </c>
      <c r="AA9" s="18" t="s">
        <v>38</v>
      </c>
      <c r="AB9" s="18" t="s">
        <v>38</v>
      </c>
      <c r="AC9" s="18" t="str">
        <f t="shared" si="3"/>
        <v>WO</v>
      </c>
      <c r="AD9" s="18" t="s">
        <v>38</v>
      </c>
      <c r="AE9" s="18" t="s">
        <v>38</v>
      </c>
      <c r="AF9" s="18" t="s">
        <v>38</v>
      </c>
      <c r="AG9" s="18" t="s">
        <v>38</v>
      </c>
      <c r="AH9" s="18" t="s">
        <v>38</v>
      </c>
      <c r="AI9" s="18" t="s">
        <v>38</v>
      </c>
      <c r="AJ9" s="18" t="str">
        <f t="shared" si="3"/>
        <v>WO</v>
      </c>
      <c r="AK9" s="18" t="s">
        <v>38</v>
      </c>
      <c r="AL9" s="18" t="s">
        <v>38</v>
      </c>
      <c r="AM9" s="18" t="s">
        <v>38</v>
      </c>
      <c r="AN9" s="19" t="str">
        <f t="shared" si="3"/>
        <v/>
      </c>
      <c r="AO9" s="32"/>
      <c r="AP9" s="34"/>
      <c r="AQ9" s="9">
        <v>1</v>
      </c>
      <c r="AR9" s="9">
        <v>1001</v>
      </c>
      <c r="AS9" s="9" t="str">
        <f>$E$5</f>
        <v>April</v>
      </c>
      <c r="AT9" s="15" t="s">
        <v>3</v>
      </c>
      <c r="AU9" s="28">
        <f t="shared" ref="AU9:AU28" si="4">COUNTIF($J9:$AN9,"P")</f>
        <v>26</v>
      </c>
      <c r="AV9">
        <f t="shared" ref="AV9:AV28" si="5">COUNTIF($J9:$AN9,"A")</f>
        <v>0</v>
      </c>
      <c r="AW9">
        <f t="shared" ref="AW9:AW28" si="6">COUNTIF($J9:$AN9,"L")</f>
        <v>0</v>
      </c>
      <c r="AX9">
        <f>$I$9</f>
        <v>4</v>
      </c>
      <c r="AY9" s="29">
        <f>$H$5</f>
        <v>30</v>
      </c>
      <c r="AZ9" s="29">
        <f>AY9-AV9</f>
        <v>30</v>
      </c>
      <c r="BA9" s="30">
        <f ca="1">RANDBETWEEN(10000,50000)</f>
        <v>31977</v>
      </c>
      <c r="BB9" s="30">
        <f ca="1">BA9/AZ9</f>
        <v>1065.9000000000001</v>
      </c>
      <c r="BC9" s="30">
        <f ca="1">BB9*AV9</f>
        <v>0</v>
      </c>
      <c r="BD9" s="30">
        <f ca="1">BA9-BC9</f>
        <v>31977</v>
      </c>
      <c r="BF9" s="34"/>
      <c r="BG9" s="31"/>
      <c r="BH9" s="31"/>
      <c r="BI9" s="31"/>
      <c r="BJ9" s="31"/>
    </row>
    <row r="10" spans="1:62" x14ac:dyDescent="0.3">
      <c r="C10" s="31"/>
      <c r="D10" s="31"/>
      <c r="E10" s="32"/>
      <c r="F10" s="8">
        <v>2</v>
      </c>
      <c r="G10" s="9">
        <v>1002</v>
      </c>
      <c r="H10" s="15" t="s">
        <v>4</v>
      </c>
      <c r="I10" s="17">
        <f t="shared" ref="I10:I28" si="7">COUNTIF($J$7:$AN$7,"Sun")</f>
        <v>4</v>
      </c>
      <c r="J10" s="18" t="s">
        <v>38</v>
      </c>
      <c r="K10" s="18" t="s">
        <v>38</v>
      </c>
      <c r="L10" s="18" t="s">
        <v>39</v>
      </c>
      <c r="M10" s="18" t="s">
        <v>38</v>
      </c>
      <c r="N10" s="18" t="s">
        <v>39</v>
      </c>
      <c r="O10" s="18" t="str">
        <f t="shared" si="3"/>
        <v>WO</v>
      </c>
      <c r="P10" s="18" t="s">
        <v>38</v>
      </c>
      <c r="Q10" s="18" t="s">
        <v>38</v>
      </c>
      <c r="R10" s="18" t="s">
        <v>39</v>
      </c>
      <c r="S10" s="18" t="s">
        <v>38</v>
      </c>
      <c r="T10" s="18" t="s">
        <v>38</v>
      </c>
      <c r="U10" s="18" t="s">
        <v>38</v>
      </c>
      <c r="V10" s="18" t="str">
        <f t="shared" si="3"/>
        <v>WO</v>
      </c>
      <c r="W10" s="18" t="s">
        <v>38</v>
      </c>
      <c r="X10" s="18" t="s">
        <v>38</v>
      </c>
      <c r="Y10" s="18" t="s">
        <v>39</v>
      </c>
      <c r="Z10" s="18" t="s">
        <v>38</v>
      </c>
      <c r="AA10" s="18" t="s">
        <v>38</v>
      </c>
      <c r="AB10" s="18" t="s">
        <v>39</v>
      </c>
      <c r="AC10" s="18" t="str">
        <f t="shared" si="3"/>
        <v>WO</v>
      </c>
      <c r="AD10" s="18" t="s">
        <v>38</v>
      </c>
      <c r="AE10" s="18" t="s">
        <v>38</v>
      </c>
      <c r="AF10" s="18" t="s">
        <v>38</v>
      </c>
      <c r="AG10" s="18" t="s">
        <v>38</v>
      </c>
      <c r="AH10" s="18" t="s">
        <v>39</v>
      </c>
      <c r="AI10" s="18" t="s">
        <v>38</v>
      </c>
      <c r="AJ10" s="18" t="str">
        <f t="shared" si="3"/>
        <v>WO</v>
      </c>
      <c r="AK10" s="18" t="s">
        <v>39</v>
      </c>
      <c r="AL10" s="18" t="s">
        <v>39</v>
      </c>
      <c r="AM10" s="18" t="s">
        <v>39</v>
      </c>
      <c r="AN10" s="19" t="str">
        <f t="shared" si="3"/>
        <v/>
      </c>
      <c r="AO10" s="32"/>
      <c r="AP10" s="34"/>
      <c r="AQ10" s="9">
        <v>2</v>
      </c>
      <c r="AR10" s="9">
        <v>1002</v>
      </c>
      <c r="AS10" s="9" t="str">
        <f t="shared" ref="AS10:AS28" si="8">$E$5</f>
        <v>April</v>
      </c>
      <c r="AT10" s="15" t="s">
        <v>4</v>
      </c>
      <c r="AU10" s="28">
        <f t="shared" si="4"/>
        <v>17</v>
      </c>
      <c r="AV10">
        <f t="shared" si="5"/>
        <v>9</v>
      </c>
      <c r="AW10">
        <f t="shared" si="6"/>
        <v>0</v>
      </c>
      <c r="AX10">
        <f t="shared" ref="AX10:AX28" si="9">$I$9</f>
        <v>4</v>
      </c>
      <c r="AY10" s="29">
        <f t="shared" ref="AY10:AY28" si="10">$H$5</f>
        <v>30</v>
      </c>
      <c r="AZ10" s="29">
        <f t="shared" ref="AZ10:AZ28" si="11">AY10-AV10</f>
        <v>21</v>
      </c>
      <c r="BA10" s="30">
        <f t="shared" ref="BA10:BA28" ca="1" si="12">RANDBETWEEN(10000,50000)</f>
        <v>21673</v>
      </c>
      <c r="BB10" s="30">
        <f t="shared" ref="BB10:BB28" ca="1" si="13">BA10/AZ10</f>
        <v>1032.047619047619</v>
      </c>
      <c r="BC10" s="30">
        <f t="shared" ref="BC10:BC28" ca="1" si="14">BB10*AV10</f>
        <v>9288.4285714285706</v>
      </c>
      <c r="BD10" s="30">
        <f t="shared" ref="BD10:BD28" ca="1" si="15">BA10-BC10</f>
        <v>12384.571428571429</v>
      </c>
      <c r="BF10" s="34"/>
      <c r="BG10" s="31"/>
      <c r="BH10" s="31"/>
      <c r="BI10" s="31"/>
      <c r="BJ10" s="31"/>
    </row>
    <row r="11" spans="1:62" x14ac:dyDescent="0.3">
      <c r="C11" s="31"/>
      <c r="D11" s="31"/>
      <c r="E11" s="32"/>
      <c r="F11" s="8">
        <v>3</v>
      </c>
      <c r="G11" s="9">
        <v>1003</v>
      </c>
      <c r="H11" s="15" t="s">
        <v>5</v>
      </c>
      <c r="I11" s="17">
        <f t="shared" si="7"/>
        <v>4</v>
      </c>
      <c r="J11" s="18" t="s">
        <v>38</v>
      </c>
      <c r="K11" s="18" t="s">
        <v>39</v>
      </c>
      <c r="L11" s="18" t="s">
        <v>38</v>
      </c>
      <c r="M11" s="18" t="s">
        <v>38</v>
      </c>
      <c r="N11" s="18" t="s">
        <v>38</v>
      </c>
      <c r="O11" s="18" t="str">
        <f t="shared" si="3"/>
        <v>WO</v>
      </c>
      <c r="P11" s="18" t="s">
        <v>38</v>
      </c>
      <c r="Q11" s="18" t="s">
        <v>39</v>
      </c>
      <c r="R11" s="18" t="s">
        <v>38</v>
      </c>
      <c r="S11" s="18" t="s">
        <v>38</v>
      </c>
      <c r="T11" s="18" t="s">
        <v>38</v>
      </c>
      <c r="U11" s="18" t="s">
        <v>38</v>
      </c>
      <c r="V11" s="18" t="str">
        <f t="shared" si="3"/>
        <v>WO</v>
      </c>
      <c r="W11" s="18" t="s">
        <v>38</v>
      </c>
      <c r="X11" s="18" t="s">
        <v>39</v>
      </c>
      <c r="Y11" s="18" t="s">
        <v>38</v>
      </c>
      <c r="Z11" s="18" t="s">
        <v>38</v>
      </c>
      <c r="AA11" s="18" t="s">
        <v>38</v>
      </c>
      <c r="AB11" s="18" t="s">
        <v>38</v>
      </c>
      <c r="AC11" s="18" t="str">
        <f t="shared" si="3"/>
        <v>WO</v>
      </c>
      <c r="AD11" s="18" t="s">
        <v>38</v>
      </c>
      <c r="AE11" s="18" t="s">
        <v>39</v>
      </c>
      <c r="AF11" s="18" t="s">
        <v>38</v>
      </c>
      <c r="AG11" s="18" t="s">
        <v>38</v>
      </c>
      <c r="AH11" s="18" t="s">
        <v>38</v>
      </c>
      <c r="AI11" s="18" t="s">
        <v>38</v>
      </c>
      <c r="AJ11" s="18" t="str">
        <f t="shared" si="3"/>
        <v>WO</v>
      </c>
      <c r="AK11" s="18" t="s">
        <v>38</v>
      </c>
      <c r="AL11" s="18" t="s">
        <v>38</v>
      </c>
      <c r="AM11" s="18" t="s">
        <v>38</v>
      </c>
      <c r="AN11" s="19" t="str">
        <f t="shared" si="3"/>
        <v/>
      </c>
      <c r="AO11" s="32"/>
      <c r="AP11" s="34"/>
      <c r="AQ11" s="9">
        <v>3</v>
      </c>
      <c r="AR11" s="9">
        <v>1003</v>
      </c>
      <c r="AS11" s="9" t="str">
        <f t="shared" si="8"/>
        <v>April</v>
      </c>
      <c r="AT11" s="15" t="s">
        <v>5</v>
      </c>
      <c r="AU11" s="28">
        <f t="shared" si="4"/>
        <v>22</v>
      </c>
      <c r="AV11">
        <f t="shared" si="5"/>
        <v>4</v>
      </c>
      <c r="AW11">
        <f t="shared" si="6"/>
        <v>0</v>
      </c>
      <c r="AX11">
        <f t="shared" si="9"/>
        <v>4</v>
      </c>
      <c r="AY11" s="29">
        <f t="shared" si="10"/>
        <v>30</v>
      </c>
      <c r="AZ11" s="29">
        <f t="shared" si="11"/>
        <v>26</v>
      </c>
      <c r="BA11" s="30">
        <f t="shared" ca="1" si="12"/>
        <v>49438</v>
      </c>
      <c r="BB11" s="30">
        <f t="shared" ca="1" si="13"/>
        <v>1901.4615384615386</v>
      </c>
      <c r="BC11" s="30">
        <f t="shared" ca="1" si="14"/>
        <v>7605.8461538461543</v>
      </c>
      <c r="BD11" s="30">
        <f t="shared" ca="1" si="15"/>
        <v>41832.153846153844</v>
      </c>
      <c r="BF11" s="34"/>
      <c r="BG11" s="31"/>
      <c r="BH11" s="31"/>
      <c r="BI11" s="31"/>
      <c r="BJ11" s="31"/>
    </row>
    <row r="12" spans="1:62" x14ac:dyDescent="0.3">
      <c r="C12" s="31"/>
      <c r="D12" s="31"/>
      <c r="E12" s="32"/>
      <c r="F12" s="8">
        <v>4</v>
      </c>
      <c r="G12" s="9">
        <v>1004</v>
      </c>
      <c r="H12" s="15" t="s">
        <v>6</v>
      </c>
      <c r="I12" s="17">
        <f t="shared" si="7"/>
        <v>4</v>
      </c>
      <c r="J12" s="18" t="s">
        <v>38</v>
      </c>
      <c r="K12" s="18" t="s">
        <v>39</v>
      </c>
      <c r="L12" s="18" t="s">
        <v>38</v>
      </c>
      <c r="M12" s="18" t="s">
        <v>38</v>
      </c>
      <c r="N12" s="18" t="s">
        <v>38</v>
      </c>
      <c r="O12" s="18" t="str">
        <f t="shared" si="3"/>
        <v>WO</v>
      </c>
      <c r="P12" s="18" t="s">
        <v>38</v>
      </c>
      <c r="Q12" s="18" t="s">
        <v>38</v>
      </c>
      <c r="R12" s="18" t="s">
        <v>38</v>
      </c>
      <c r="S12" s="18" t="s">
        <v>38</v>
      </c>
      <c r="T12" s="18" t="s">
        <v>38</v>
      </c>
      <c r="U12" s="18" t="s">
        <v>38</v>
      </c>
      <c r="V12" s="18" t="str">
        <f t="shared" si="3"/>
        <v>WO</v>
      </c>
      <c r="W12" s="18" t="s">
        <v>38</v>
      </c>
      <c r="X12" s="18" t="s">
        <v>38</v>
      </c>
      <c r="Y12" s="18" t="s">
        <v>38</v>
      </c>
      <c r="Z12" s="18" t="s">
        <v>38</v>
      </c>
      <c r="AA12" s="18" t="s">
        <v>38</v>
      </c>
      <c r="AB12" s="18" t="s">
        <v>38</v>
      </c>
      <c r="AC12" s="18" t="str">
        <f t="shared" si="3"/>
        <v>WO</v>
      </c>
      <c r="AD12" s="18" t="s">
        <v>38</v>
      </c>
      <c r="AE12" s="18" t="s">
        <v>39</v>
      </c>
      <c r="AF12" s="18" t="s">
        <v>38</v>
      </c>
      <c r="AG12" s="18" t="s">
        <v>38</v>
      </c>
      <c r="AH12" s="18" t="s">
        <v>38</v>
      </c>
      <c r="AI12" s="18" t="s">
        <v>38</v>
      </c>
      <c r="AJ12" s="18" t="str">
        <f t="shared" si="3"/>
        <v>WO</v>
      </c>
      <c r="AK12" s="18" t="s">
        <v>38</v>
      </c>
      <c r="AL12" s="18" t="s">
        <v>38</v>
      </c>
      <c r="AM12" s="18" t="s">
        <v>38</v>
      </c>
      <c r="AN12" s="19" t="str">
        <f t="shared" si="3"/>
        <v/>
      </c>
      <c r="AO12" s="32"/>
      <c r="AP12" s="34"/>
      <c r="AQ12" s="9">
        <v>4</v>
      </c>
      <c r="AR12" s="9">
        <v>1004</v>
      </c>
      <c r="AS12" s="9" t="str">
        <f t="shared" si="8"/>
        <v>April</v>
      </c>
      <c r="AT12" s="15" t="s">
        <v>6</v>
      </c>
      <c r="AU12" s="28">
        <f t="shared" si="4"/>
        <v>24</v>
      </c>
      <c r="AV12">
        <f t="shared" si="5"/>
        <v>2</v>
      </c>
      <c r="AW12">
        <f t="shared" si="6"/>
        <v>0</v>
      </c>
      <c r="AX12">
        <f t="shared" si="9"/>
        <v>4</v>
      </c>
      <c r="AY12" s="29">
        <f t="shared" si="10"/>
        <v>30</v>
      </c>
      <c r="AZ12" s="29">
        <f t="shared" si="11"/>
        <v>28</v>
      </c>
      <c r="BA12" s="30">
        <f t="shared" ca="1" si="12"/>
        <v>44293</v>
      </c>
      <c r="BB12" s="30">
        <f t="shared" ca="1" si="13"/>
        <v>1581.8928571428571</v>
      </c>
      <c r="BC12" s="30">
        <f t="shared" ca="1" si="14"/>
        <v>3163.7857142857142</v>
      </c>
      <c r="BD12" s="30">
        <f t="shared" ca="1" si="15"/>
        <v>41129.214285714283</v>
      </c>
      <c r="BF12" s="34"/>
      <c r="BG12" s="31"/>
      <c r="BH12" s="31"/>
      <c r="BI12" s="31"/>
      <c r="BJ12" s="31"/>
    </row>
    <row r="13" spans="1:62" x14ac:dyDescent="0.3">
      <c r="C13" s="31"/>
      <c r="D13" s="31"/>
      <c r="E13" s="32"/>
      <c r="F13" s="8">
        <v>5</v>
      </c>
      <c r="G13" s="9">
        <v>1005</v>
      </c>
      <c r="H13" s="15" t="s">
        <v>7</v>
      </c>
      <c r="I13" s="17">
        <f t="shared" si="7"/>
        <v>4</v>
      </c>
      <c r="J13" s="18" t="s">
        <v>38</v>
      </c>
      <c r="K13" s="18" t="s">
        <v>38</v>
      </c>
      <c r="L13" s="18" t="s">
        <v>39</v>
      </c>
      <c r="M13" s="18" t="s">
        <v>38</v>
      </c>
      <c r="N13" s="18" t="s">
        <v>39</v>
      </c>
      <c r="O13" s="18" t="str">
        <f t="shared" si="3"/>
        <v>WO</v>
      </c>
      <c r="P13" s="18" t="s">
        <v>38</v>
      </c>
      <c r="Q13" s="18" t="s">
        <v>38</v>
      </c>
      <c r="R13" s="18" t="s">
        <v>39</v>
      </c>
      <c r="S13" s="18" t="s">
        <v>38</v>
      </c>
      <c r="T13" s="18" t="s">
        <v>38</v>
      </c>
      <c r="U13" s="18" t="s">
        <v>38</v>
      </c>
      <c r="V13" s="18" t="str">
        <f t="shared" si="3"/>
        <v>WO</v>
      </c>
      <c r="W13" s="18" t="s">
        <v>38</v>
      </c>
      <c r="X13" s="18" t="s">
        <v>38</v>
      </c>
      <c r="Y13" s="18" t="s">
        <v>39</v>
      </c>
      <c r="Z13" s="18" t="s">
        <v>38</v>
      </c>
      <c r="AA13" s="18" t="s">
        <v>40</v>
      </c>
      <c r="AB13" s="18" t="s">
        <v>40</v>
      </c>
      <c r="AC13" s="18" t="str">
        <f t="shared" si="3"/>
        <v>WO</v>
      </c>
      <c r="AD13" s="18" t="s">
        <v>38</v>
      </c>
      <c r="AE13" s="18" t="s">
        <v>38</v>
      </c>
      <c r="AF13" s="18" t="s">
        <v>39</v>
      </c>
      <c r="AG13" s="18" t="s">
        <v>38</v>
      </c>
      <c r="AH13" s="18" t="s">
        <v>39</v>
      </c>
      <c r="AI13" s="18" t="s">
        <v>38</v>
      </c>
      <c r="AJ13" s="18" t="str">
        <f t="shared" si="3"/>
        <v>WO</v>
      </c>
      <c r="AK13" s="18" t="s">
        <v>39</v>
      </c>
      <c r="AL13" s="18" t="s">
        <v>39</v>
      </c>
      <c r="AM13" s="18" t="s">
        <v>39</v>
      </c>
      <c r="AN13" s="19" t="str">
        <f t="shared" si="3"/>
        <v/>
      </c>
      <c r="AO13" s="32"/>
      <c r="AP13" s="34"/>
      <c r="AQ13" s="9">
        <v>5</v>
      </c>
      <c r="AR13" s="9">
        <v>1005</v>
      </c>
      <c r="AS13" s="9" t="str">
        <f t="shared" si="8"/>
        <v>April</v>
      </c>
      <c r="AT13" s="15" t="s">
        <v>7</v>
      </c>
      <c r="AU13" s="28">
        <f t="shared" si="4"/>
        <v>15</v>
      </c>
      <c r="AV13">
        <f t="shared" si="5"/>
        <v>9</v>
      </c>
      <c r="AW13">
        <f t="shared" si="6"/>
        <v>2</v>
      </c>
      <c r="AX13">
        <f t="shared" si="9"/>
        <v>4</v>
      </c>
      <c r="AY13" s="29">
        <f t="shared" si="10"/>
        <v>30</v>
      </c>
      <c r="AZ13" s="29">
        <f t="shared" si="11"/>
        <v>21</v>
      </c>
      <c r="BA13" s="30">
        <f t="shared" ca="1" si="12"/>
        <v>43501</v>
      </c>
      <c r="BB13" s="30">
        <f t="shared" ca="1" si="13"/>
        <v>2071.4761904761904</v>
      </c>
      <c r="BC13" s="30">
        <f t="shared" ca="1" si="14"/>
        <v>18643.285714285714</v>
      </c>
      <c r="BD13" s="30">
        <f t="shared" ca="1" si="15"/>
        <v>24857.714285714286</v>
      </c>
      <c r="BF13" s="34"/>
      <c r="BG13" s="31"/>
      <c r="BH13" s="31"/>
      <c r="BI13" s="31"/>
      <c r="BJ13" s="31"/>
    </row>
    <row r="14" spans="1:62" x14ac:dyDescent="0.3">
      <c r="C14" s="31"/>
      <c r="D14" s="31"/>
      <c r="E14" s="32"/>
      <c r="F14" s="8">
        <v>6</v>
      </c>
      <c r="G14" s="9">
        <v>1006</v>
      </c>
      <c r="H14" s="15" t="s">
        <v>8</v>
      </c>
      <c r="I14" s="17">
        <f t="shared" si="7"/>
        <v>4</v>
      </c>
      <c r="J14" s="18" t="s">
        <v>38</v>
      </c>
      <c r="K14" s="18" t="s">
        <v>38</v>
      </c>
      <c r="L14" s="18" t="s">
        <v>39</v>
      </c>
      <c r="M14" s="18" t="s">
        <v>38</v>
      </c>
      <c r="N14" s="18" t="s">
        <v>39</v>
      </c>
      <c r="O14" s="18" t="str">
        <f t="shared" si="3"/>
        <v>WO</v>
      </c>
      <c r="P14" s="18" t="s">
        <v>38</v>
      </c>
      <c r="Q14" s="18" t="s">
        <v>38</v>
      </c>
      <c r="R14" s="18" t="s">
        <v>39</v>
      </c>
      <c r="S14" s="18" t="s">
        <v>38</v>
      </c>
      <c r="T14" s="18" t="s">
        <v>38</v>
      </c>
      <c r="U14" s="18" t="s">
        <v>39</v>
      </c>
      <c r="V14" s="18" t="str">
        <f t="shared" si="3"/>
        <v>WO</v>
      </c>
      <c r="W14" s="18" t="s">
        <v>38</v>
      </c>
      <c r="X14" s="18" t="s">
        <v>38</v>
      </c>
      <c r="Y14" s="18" t="s">
        <v>40</v>
      </c>
      <c r="Z14" s="18" t="s">
        <v>38</v>
      </c>
      <c r="AA14" s="18" t="s">
        <v>40</v>
      </c>
      <c r="AB14" s="18" t="s">
        <v>39</v>
      </c>
      <c r="AC14" s="18" t="str">
        <f t="shared" si="3"/>
        <v>WO</v>
      </c>
      <c r="AD14" s="18" t="s">
        <v>38</v>
      </c>
      <c r="AE14" s="18" t="s">
        <v>38</v>
      </c>
      <c r="AF14" s="18" t="s">
        <v>39</v>
      </c>
      <c r="AG14" s="18" t="s">
        <v>38</v>
      </c>
      <c r="AH14" s="18" t="s">
        <v>38</v>
      </c>
      <c r="AI14" s="18" t="s">
        <v>39</v>
      </c>
      <c r="AJ14" s="18" t="str">
        <f t="shared" si="3"/>
        <v>WO</v>
      </c>
      <c r="AK14" s="18" t="s">
        <v>39</v>
      </c>
      <c r="AL14" s="18" t="s">
        <v>39</v>
      </c>
      <c r="AM14" s="18" t="s">
        <v>39</v>
      </c>
      <c r="AN14" s="19" t="str">
        <f t="shared" si="3"/>
        <v/>
      </c>
      <c r="AO14" s="32"/>
      <c r="AP14" s="34"/>
      <c r="AQ14" s="9">
        <v>6</v>
      </c>
      <c r="AR14" s="9">
        <v>1006</v>
      </c>
      <c r="AS14" s="9" t="str">
        <f t="shared" si="8"/>
        <v>April</v>
      </c>
      <c r="AT14" s="15" t="s">
        <v>8</v>
      </c>
      <c r="AU14" s="28">
        <f t="shared" si="4"/>
        <v>14</v>
      </c>
      <c r="AV14">
        <f t="shared" si="5"/>
        <v>10</v>
      </c>
      <c r="AW14">
        <f t="shared" si="6"/>
        <v>2</v>
      </c>
      <c r="AX14">
        <f t="shared" si="9"/>
        <v>4</v>
      </c>
      <c r="AY14" s="29">
        <f t="shared" si="10"/>
        <v>30</v>
      </c>
      <c r="AZ14" s="29">
        <f t="shared" si="11"/>
        <v>20</v>
      </c>
      <c r="BA14" s="30">
        <f t="shared" ca="1" si="12"/>
        <v>24568</v>
      </c>
      <c r="BB14" s="30">
        <f t="shared" ca="1" si="13"/>
        <v>1228.4000000000001</v>
      </c>
      <c r="BC14" s="30">
        <f t="shared" ca="1" si="14"/>
        <v>12284</v>
      </c>
      <c r="BD14" s="30">
        <f t="shared" ca="1" si="15"/>
        <v>12284</v>
      </c>
      <c r="BF14" s="34"/>
      <c r="BG14" s="31"/>
      <c r="BH14" s="31"/>
      <c r="BI14" s="31"/>
      <c r="BJ14" s="31"/>
    </row>
    <row r="15" spans="1:62" x14ac:dyDescent="0.3">
      <c r="C15" s="31"/>
      <c r="D15" s="31"/>
      <c r="E15" s="32"/>
      <c r="F15" s="8">
        <v>7</v>
      </c>
      <c r="G15" s="9">
        <v>1007</v>
      </c>
      <c r="H15" s="15" t="s">
        <v>9</v>
      </c>
      <c r="I15" s="17">
        <f t="shared" si="7"/>
        <v>4</v>
      </c>
      <c r="J15" s="18" t="s">
        <v>38</v>
      </c>
      <c r="K15" s="18" t="s">
        <v>38</v>
      </c>
      <c r="L15" s="18" t="s">
        <v>38</v>
      </c>
      <c r="M15" s="18" t="s">
        <v>38</v>
      </c>
      <c r="N15" s="18" t="s">
        <v>38</v>
      </c>
      <c r="O15" s="18" t="str">
        <f t="shared" si="3"/>
        <v>WO</v>
      </c>
      <c r="P15" s="18" t="s">
        <v>38</v>
      </c>
      <c r="Q15" s="18" t="s">
        <v>38</v>
      </c>
      <c r="R15" s="18" t="s">
        <v>38</v>
      </c>
      <c r="S15" s="18" t="s">
        <v>38</v>
      </c>
      <c r="T15" s="18" t="s">
        <v>38</v>
      </c>
      <c r="U15" s="18" t="s">
        <v>38</v>
      </c>
      <c r="V15" s="18" t="str">
        <f t="shared" si="3"/>
        <v>WO</v>
      </c>
      <c r="W15" s="18" t="s">
        <v>38</v>
      </c>
      <c r="X15" s="18" t="s">
        <v>38</v>
      </c>
      <c r="Y15" s="18" t="s">
        <v>38</v>
      </c>
      <c r="Z15" s="18" t="s">
        <v>38</v>
      </c>
      <c r="AA15" s="18" t="s">
        <v>38</v>
      </c>
      <c r="AB15" s="18" t="s">
        <v>38</v>
      </c>
      <c r="AC15" s="18" t="str">
        <f t="shared" si="3"/>
        <v>WO</v>
      </c>
      <c r="AD15" s="18" t="s">
        <v>38</v>
      </c>
      <c r="AE15" s="18" t="s">
        <v>38</v>
      </c>
      <c r="AF15" s="18" t="s">
        <v>38</v>
      </c>
      <c r="AG15" s="18" t="s">
        <v>38</v>
      </c>
      <c r="AH15" s="18" t="s">
        <v>38</v>
      </c>
      <c r="AI15" s="18" t="s">
        <v>38</v>
      </c>
      <c r="AJ15" s="18" t="str">
        <f t="shared" si="3"/>
        <v>WO</v>
      </c>
      <c r="AK15" s="18" t="s">
        <v>38</v>
      </c>
      <c r="AL15" s="18" t="s">
        <v>38</v>
      </c>
      <c r="AM15" s="18" t="s">
        <v>38</v>
      </c>
      <c r="AN15" s="19" t="str">
        <f t="shared" si="3"/>
        <v/>
      </c>
      <c r="AO15" s="32"/>
      <c r="AP15" s="34"/>
      <c r="AQ15" s="9">
        <v>7</v>
      </c>
      <c r="AR15" s="9">
        <v>1007</v>
      </c>
      <c r="AS15" s="9" t="str">
        <f t="shared" si="8"/>
        <v>April</v>
      </c>
      <c r="AT15" s="15" t="s">
        <v>9</v>
      </c>
      <c r="AU15" s="28">
        <f t="shared" si="4"/>
        <v>26</v>
      </c>
      <c r="AV15">
        <f t="shared" si="5"/>
        <v>0</v>
      </c>
      <c r="AW15">
        <f t="shared" si="6"/>
        <v>0</v>
      </c>
      <c r="AX15">
        <f t="shared" si="9"/>
        <v>4</v>
      </c>
      <c r="AY15" s="29">
        <f t="shared" si="10"/>
        <v>30</v>
      </c>
      <c r="AZ15" s="29">
        <f t="shared" si="11"/>
        <v>30</v>
      </c>
      <c r="BA15" s="30">
        <f t="shared" ca="1" si="12"/>
        <v>21375</v>
      </c>
      <c r="BB15" s="30">
        <f t="shared" ca="1" si="13"/>
        <v>712.5</v>
      </c>
      <c r="BC15" s="30">
        <f t="shared" ca="1" si="14"/>
        <v>0</v>
      </c>
      <c r="BD15" s="30">
        <f t="shared" ca="1" si="15"/>
        <v>21375</v>
      </c>
      <c r="BF15" s="34"/>
      <c r="BG15" s="31"/>
      <c r="BH15" s="31"/>
      <c r="BI15" s="31"/>
      <c r="BJ15" s="31"/>
    </row>
    <row r="16" spans="1:62" x14ac:dyDescent="0.3">
      <c r="C16" s="31"/>
      <c r="D16" s="31"/>
      <c r="E16" s="32"/>
      <c r="F16" s="8">
        <v>8</v>
      </c>
      <c r="G16" s="9">
        <v>1008</v>
      </c>
      <c r="H16" s="15" t="s">
        <v>10</v>
      </c>
      <c r="I16" s="17">
        <f t="shared" si="7"/>
        <v>4</v>
      </c>
      <c r="J16" s="18" t="s">
        <v>38</v>
      </c>
      <c r="K16" s="18" t="s">
        <v>39</v>
      </c>
      <c r="L16" s="18" t="s">
        <v>38</v>
      </c>
      <c r="M16" s="18" t="s">
        <v>38</v>
      </c>
      <c r="N16" s="18" t="s">
        <v>38</v>
      </c>
      <c r="O16" s="18" t="str">
        <f t="shared" si="3"/>
        <v>WO</v>
      </c>
      <c r="P16" s="18" t="s">
        <v>38</v>
      </c>
      <c r="Q16" s="18" t="s">
        <v>39</v>
      </c>
      <c r="R16" s="18" t="s">
        <v>38</v>
      </c>
      <c r="S16" s="18" t="s">
        <v>38</v>
      </c>
      <c r="T16" s="18" t="s">
        <v>38</v>
      </c>
      <c r="U16" s="18" t="s">
        <v>38</v>
      </c>
      <c r="V16" s="18" t="str">
        <f t="shared" si="3"/>
        <v>WO</v>
      </c>
      <c r="W16" s="18" t="s">
        <v>38</v>
      </c>
      <c r="X16" s="18" t="s">
        <v>39</v>
      </c>
      <c r="Y16" s="18" t="s">
        <v>38</v>
      </c>
      <c r="Z16" s="18" t="s">
        <v>38</v>
      </c>
      <c r="AA16" s="18" t="s">
        <v>38</v>
      </c>
      <c r="AB16" s="18" t="s">
        <v>38</v>
      </c>
      <c r="AC16" s="18" t="str">
        <f t="shared" si="3"/>
        <v>WO</v>
      </c>
      <c r="AD16" s="18" t="s">
        <v>38</v>
      </c>
      <c r="AE16" s="18" t="s">
        <v>38</v>
      </c>
      <c r="AF16" s="18" t="s">
        <v>38</v>
      </c>
      <c r="AG16" s="18" t="s">
        <v>38</v>
      </c>
      <c r="AH16" s="18" t="s">
        <v>38</v>
      </c>
      <c r="AI16" s="18" t="s">
        <v>38</v>
      </c>
      <c r="AJ16" s="18" t="str">
        <f t="shared" si="3"/>
        <v>WO</v>
      </c>
      <c r="AK16" s="18" t="s">
        <v>38</v>
      </c>
      <c r="AL16" s="18" t="s">
        <v>38</v>
      </c>
      <c r="AM16" s="18" t="s">
        <v>38</v>
      </c>
      <c r="AN16" s="19" t="str">
        <f t="shared" si="3"/>
        <v/>
      </c>
      <c r="AO16" s="32"/>
      <c r="AP16" s="34"/>
      <c r="AQ16" s="9">
        <v>8</v>
      </c>
      <c r="AR16" s="9">
        <v>1008</v>
      </c>
      <c r="AS16" s="9" t="str">
        <f t="shared" si="8"/>
        <v>April</v>
      </c>
      <c r="AT16" s="15" t="s">
        <v>10</v>
      </c>
      <c r="AU16" s="28">
        <f t="shared" si="4"/>
        <v>23</v>
      </c>
      <c r="AV16">
        <f t="shared" si="5"/>
        <v>3</v>
      </c>
      <c r="AW16">
        <f t="shared" si="6"/>
        <v>0</v>
      </c>
      <c r="AX16">
        <f t="shared" si="9"/>
        <v>4</v>
      </c>
      <c r="AY16" s="29">
        <f t="shared" si="10"/>
        <v>30</v>
      </c>
      <c r="AZ16" s="29">
        <f t="shared" si="11"/>
        <v>27</v>
      </c>
      <c r="BA16" s="30">
        <f t="shared" ca="1" si="12"/>
        <v>14178</v>
      </c>
      <c r="BB16" s="30">
        <f t="shared" ca="1" si="13"/>
        <v>525.11111111111109</v>
      </c>
      <c r="BC16" s="30">
        <f t="shared" ca="1" si="14"/>
        <v>1575.3333333333333</v>
      </c>
      <c r="BD16" s="30">
        <f t="shared" ca="1" si="15"/>
        <v>12602.666666666666</v>
      </c>
      <c r="BF16" s="34"/>
      <c r="BG16" s="31"/>
      <c r="BH16" s="31"/>
      <c r="BI16" s="31"/>
      <c r="BJ16" s="31"/>
    </row>
    <row r="17" spans="1:62" x14ac:dyDescent="0.3">
      <c r="C17" s="31"/>
      <c r="D17" s="31"/>
      <c r="E17" s="32"/>
      <c r="F17" s="8">
        <v>9</v>
      </c>
      <c r="G17" s="9">
        <v>1009</v>
      </c>
      <c r="H17" s="15" t="s">
        <v>11</v>
      </c>
      <c r="I17" s="17">
        <f t="shared" si="7"/>
        <v>4</v>
      </c>
      <c r="J17" s="18" t="s">
        <v>38</v>
      </c>
      <c r="K17" s="18" t="s">
        <v>38</v>
      </c>
      <c r="L17" s="18" t="s">
        <v>38</v>
      </c>
      <c r="M17" s="18" t="s">
        <v>38</v>
      </c>
      <c r="N17" s="18" t="s">
        <v>38</v>
      </c>
      <c r="O17" s="18" t="str">
        <f t="shared" si="3"/>
        <v>WO</v>
      </c>
      <c r="P17" s="18" t="s">
        <v>38</v>
      </c>
      <c r="Q17" s="18" t="s">
        <v>38</v>
      </c>
      <c r="R17" s="18" t="s">
        <v>38</v>
      </c>
      <c r="S17" s="18" t="s">
        <v>38</v>
      </c>
      <c r="T17" s="18" t="s">
        <v>38</v>
      </c>
      <c r="U17" s="18" t="s">
        <v>38</v>
      </c>
      <c r="V17" s="18" t="str">
        <f t="shared" si="3"/>
        <v>WO</v>
      </c>
      <c r="W17" s="18" t="s">
        <v>38</v>
      </c>
      <c r="X17" s="18" t="s">
        <v>38</v>
      </c>
      <c r="Y17" s="18" t="s">
        <v>38</v>
      </c>
      <c r="Z17" s="18" t="s">
        <v>38</v>
      </c>
      <c r="AA17" s="18" t="s">
        <v>38</v>
      </c>
      <c r="AB17" s="18" t="s">
        <v>38</v>
      </c>
      <c r="AC17" s="18" t="str">
        <f t="shared" ref="AC17:AN28" si="16">IF(AC$7="Sun","WO","")</f>
        <v>WO</v>
      </c>
      <c r="AD17" s="18" t="s">
        <v>38</v>
      </c>
      <c r="AE17" s="18" t="s">
        <v>38</v>
      </c>
      <c r="AF17" s="18" t="s">
        <v>38</v>
      </c>
      <c r="AG17" s="18" t="s">
        <v>38</v>
      </c>
      <c r="AH17" s="18" t="s">
        <v>38</v>
      </c>
      <c r="AI17" s="18" t="s">
        <v>38</v>
      </c>
      <c r="AJ17" s="18" t="str">
        <f t="shared" si="16"/>
        <v>WO</v>
      </c>
      <c r="AK17" s="18" t="s">
        <v>38</v>
      </c>
      <c r="AL17" s="18" t="s">
        <v>38</v>
      </c>
      <c r="AM17" s="18" t="s">
        <v>38</v>
      </c>
      <c r="AN17" s="19" t="str">
        <f t="shared" si="16"/>
        <v/>
      </c>
      <c r="AO17" s="32"/>
      <c r="AP17" s="34"/>
      <c r="AQ17" s="9">
        <v>9</v>
      </c>
      <c r="AR17" s="9">
        <v>1009</v>
      </c>
      <c r="AS17" s="9" t="str">
        <f t="shared" si="8"/>
        <v>April</v>
      </c>
      <c r="AT17" s="15" t="s">
        <v>11</v>
      </c>
      <c r="AU17" s="28">
        <f t="shared" si="4"/>
        <v>26</v>
      </c>
      <c r="AV17">
        <f t="shared" si="5"/>
        <v>0</v>
      </c>
      <c r="AW17">
        <f t="shared" si="6"/>
        <v>0</v>
      </c>
      <c r="AX17">
        <f t="shared" si="9"/>
        <v>4</v>
      </c>
      <c r="AY17" s="29">
        <f t="shared" si="10"/>
        <v>30</v>
      </c>
      <c r="AZ17" s="29">
        <f t="shared" si="11"/>
        <v>30</v>
      </c>
      <c r="BA17" s="30">
        <f t="shared" ca="1" si="12"/>
        <v>14266</v>
      </c>
      <c r="BB17" s="30">
        <f t="shared" ca="1" si="13"/>
        <v>475.53333333333336</v>
      </c>
      <c r="BC17" s="30">
        <f t="shared" ca="1" si="14"/>
        <v>0</v>
      </c>
      <c r="BD17" s="30">
        <f t="shared" ca="1" si="15"/>
        <v>14266</v>
      </c>
      <c r="BF17" s="34"/>
      <c r="BG17" s="31"/>
      <c r="BH17" s="31"/>
      <c r="BI17" s="31"/>
      <c r="BJ17" s="31"/>
    </row>
    <row r="18" spans="1:62" x14ac:dyDescent="0.3">
      <c r="C18" s="31"/>
      <c r="D18" s="31"/>
      <c r="E18" s="32"/>
      <c r="F18" s="8">
        <v>10</v>
      </c>
      <c r="G18" s="9">
        <v>1010</v>
      </c>
      <c r="H18" s="15" t="s">
        <v>12</v>
      </c>
      <c r="I18" s="17">
        <f t="shared" si="7"/>
        <v>4</v>
      </c>
      <c r="J18" s="18" t="s">
        <v>38</v>
      </c>
      <c r="K18" s="18" t="s">
        <v>38</v>
      </c>
      <c r="L18" s="18" t="s">
        <v>39</v>
      </c>
      <c r="M18" s="18" t="s">
        <v>38</v>
      </c>
      <c r="N18" s="18" t="s">
        <v>38</v>
      </c>
      <c r="O18" s="18" t="str">
        <f t="shared" ref="O18:V28" si="17">IF(O$7="Sun","WO","")</f>
        <v>WO</v>
      </c>
      <c r="P18" s="18" t="s">
        <v>38</v>
      </c>
      <c r="Q18" s="18" t="s">
        <v>38</v>
      </c>
      <c r="R18" s="18" t="s">
        <v>38</v>
      </c>
      <c r="S18" s="18" t="s">
        <v>38</v>
      </c>
      <c r="T18" s="18" t="s">
        <v>38</v>
      </c>
      <c r="U18" s="18" t="s">
        <v>39</v>
      </c>
      <c r="V18" s="18" t="str">
        <f t="shared" si="17"/>
        <v>WO</v>
      </c>
      <c r="W18" s="18" t="s">
        <v>38</v>
      </c>
      <c r="X18" s="18" t="s">
        <v>38</v>
      </c>
      <c r="Y18" s="18" t="s">
        <v>40</v>
      </c>
      <c r="Z18" s="18" t="s">
        <v>38</v>
      </c>
      <c r="AA18" s="18" t="s">
        <v>40</v>
      </c>
      <c r="AB18" s="18" t="s">
        <v>40</v>
      </c>
      <c r="AC18" s="18" t="str">
        <f t="shared" si="16"/>
        <v>WO</v>
      </c>
      <c r="AD18" s="18" t="s">
        <v>38</v>
      </c>
      <c r="AE18" s="18" t="s">
        <v>38</v>
      </c>
      <c r="AF18" s="18" t="s">
        <v>38</v>
      </c>
      <c r="AG18" s="18" t="s">
        <v>38</v>
      </c>
      <c r="AH18" s="18" t="s">
        <v>39</v>
      </c>
      <c r="AI18" s="18" t="s">
        <v>38</v>
      </c>
      <c r="AJ18" s="18" t="str">
        <f t="shared" si="16"/>
        <v>WO</v>
      </c>
      <c r="AK18" s="18" t="s">
        <v>39</v>
      </c>
      <c r="AL18" s="18" t="s">
        <v>39</v>
      </c>
      <c r="AM18" s="18" t="s">
        <v>39</v>
      </c>
      <c r="AN18" s="19" t="str">
        <f t="shared" si="16"/>
        <v/>
      </c>
      <c r="AO18" s="32"/>
      <c r="AP18" s="34"/>
      <c r="AQ18" s="9">
        <v>10</v>
      </c>
      <c r="AR18" s="9">
        <v>1010</v>
      </c>
      <c r="AS18" s="9" t="str">
        <f t="shared" si="8"/>
        <v>April</v>
      </c>
      <c r="AT18" s="15" t="s">
        <v>12</v>
      </c>
      <c r="AU18" s="28">
        <f t="shared" si="4"/>
        <v>17</v>
      </c>
      <c r="AV18">
        <f t="shared" si="5"/>
        <v>6</v>
      </c>
      <c r="AW18">
        <f t="shared" si="6"/>
        <v>3</v>
      </c>
      <c r="AX18">
        <f t="shared" si="9"/>
        <v>4</v>
      </c>
      <c r="AY18" s="29">
        <f t="shared" si="10"/>
        <v>30</v>
      </c>
      <c r="AZ18" s="29">
        <f t="shared" si="11"/>
        <v>24</v>
      </c>
      <c r="BA18" s="30">
        <f t="shared" ca="1" si="12"/>
        <v>11558</v>
      </c>
      <c r="BB18" s="30">
        <f t="shared" ca="1" si="13"/>
        <v>481.58333333333331</v>
      </c>
      <c r="BC18" s="30">
        <f t="shared" ca="1" si="14"/>
        <v>2889.5</v>
      </c>
      <c r="BD18" s="30">
        <f t="shared" ca="1" si="15"/>
        <v>8668.5</v>
      </c>
      <c r="BF18" s="34"/>
      <c r="BG18" s="31"/>
      <c r="BH18" s="31"/>
      <c r="BI18" s="31"/>
      <c r="BJ18" s="31"/>
    </row>
    <row r="19" spans="1:62" x14ac:dyDescent="0.3">
      <c r="C19" s="31"/>
      <c r="D19" s="31"/>
      <c r="E19" s="32"/>
      <c r="F19" s="8">
        <v>11</v>
      </c>
      <c r="G19" s="9">
        <v>1011</v>
      </c>
      <c r="H19" s="15" t="s">
        <v>13</v>
      </c>
      <c r="I19" s="17">
        <f t="shared" si="7"/>
        <v>4</v>
      </c>
      <c r="J19" s="18" t="s">
        <v>38</v>
      </c>
      <c r="K19" s="18" t="s">
        <v>38</v>
      </c>
      <c r="L19" s="18" t="s">
        <v>38</v>
      </c>
      <c r="M19" s="18" t="s">
        <v>38</v>
      </c>
      <c r="N19" s="18" t="s">
        <v>38</v>
      </c>
      <c r="O19" s="18" t="str">
        <f t="shared" si="17"/>
        <v>WO</v>
      </c>
      <c r="P19" s="18" t="s">
        <v>38</v>
      </c>
      <c r="Q19" s="18" t="s">
        <v>38</v>
      </c>
      <c r="R19" s="18" t="s">
        <v>38</v>
      </c>
      <c r="S19" s="18" t="s">
        <v>38</v>
      </c>
      <c r="T19" s="18" t="s">
        <v>38</v>
      </c>
      <c r="U19" s="18" t="s">
        <v>38</v>
      </c>
      <c r="V19" s="18" t="str">
        <f t="shared" si="17"/>
        <v>WO</v>
      </c>
      <c r="W19" s="18" t="s">
        <v>38</v>
      </c>
      <c r="X19" s="18" t="s">
        <v>38</v>
      </c>
      <c r="Y19" s="18" t="s">
        <v>38</v>
      </c>
      <c r="Z19" s="18" t="s">
        <v>38</v>
      </c>
      <c r="AA19" s="18" t="s">
        <v>38</v>
      </c>
      <c r="AB19" s="18" t="s">
        <v>38</v>
      </c>
      <c r="AC19" s="18" t="str">
        <f t="shared" si="16"/>
        <v>WO</v>
      </c>
      <c r="AD19" s="18" t="s">
        <v>38</v>
      </c>
      <c r="AE19" s="18" t="s">
        <v>40</v>
      </c>
      <c r="AF19" s="18" t="s">
        <v>38</v>
      </c>
      <c r="AG19" s="18" t="s">
        <v>38</v>
      </c>
      <c r="AH19" s="18" t="s">
        <v>38</v>
      </c>
      <c r="AI19" s="18" t="s">
        <v>38</v>
      </c>
      <c r="AJ19" s="18" t="str">
        <f t="shared" si="16"/>
        <v>WO</v>
      </c>
      <c r="AK19" s="18" t="s">
        <v>38</v>
      </c>
      <c r="AL19" s="18" t="s">
        <v>38</v>
      </c>
      <c r="AM19" s="18" t="s">
        <v>38</v>
      </c>
      <c r="AN19" s="19" t="str">
        <f t="shared" si="16"/>
        <v/>
      </c>
      <c r="AO19" s="32"/>
      <c r="AP19" s="34"/>
      <c r="AQ19" s="9">
        <v>11</v>
      </c>
      <c r="AR19" s="9">
        <v>1011</v>
      </c>
      <c r="AS19" s="9" t="str">
        <f t="shared" si="8"/>
        <v>April</v>
      </c>
      <c r="AT19" s="15" t="s">
        <v>13</v>
      </c>
      <c r="AU19" s="28">
        <f t="shared" si="4"/>
        <v>25</v>
      </c>
      <c r="AV19">
        <f t="shared" si="5"/>
        <v>0</v>
      </c>
      <c r="AW19">
        <f t="shared" si="6"/>
        <v>1</v>
      </c>
      <c r="AX19">
        <f t="shared" si="9"/>
        <v>4</v>
      </c>
      <c r="AY19" s="29">
        <f t="shared" si="10"/>
        <v>30</v>
      </c>
      <c r="AZ19" s="29">
        <f t="shared" si="11"/>
        <v>30</v>
      </c>
      <c r="BA19" s="30">
        <f t="shared" ca="1" si="12"/>
        <v>16618</v>
      </c>
      <c r="BB19" s="30">
        <f t="shared" ca="1" si="13"/>
        <v>553.93333333333328</v>
      </c>
      <c r="BC19" s="30">
        <f t="shared" ca="1" si="14"/>
        <v>0</v>
      </c>
      <c r="BD19" s="30">
        <f t="shared" ca="1" si="15"/>
        <v>16618</v>
      </c>
      <c r="BF19" s="34"/>
      <c r="BG19" s="31"/>
      <c r="BH19" s="31"/>
      <c r="BI19" s="31"/>
      <c r="BJ19" s="31"/>
    </row>
    <row r="20" spans="1:62" x14ac:dyDescent="0.3">
      <c r="C20" s="31"/>
      <c r="D20" s="31"/>
      <c r="E20" s="32"/>
      <c r="F20" s="8">
        <v>12</v>
      </c>
      <c r="G20" s="9">
        <v>1012</v>
      </c>
      <c r="H20" s="15" t="s">
        <v>14</v>
      </c>
      <c r="I20" s="17">
        <f t="shared" si="7"/>
        <v>4</v>
      </c>
      <c r="J20" s="18" t="s">
        <v>38</v>
      </c>
      <c r="K20" s="18" t="s">
        <v>38</v>
      </c>
      <c r="L20" s="18" t="s">
        <v>38</v>
      </c>
      <c r="M20" s="18" t="s">
        <v>38</v>
      </c>
      <c r="N20" s="18" t="s">
        <v>38</v>
      </c>
      <c r="O20" s="18" t="str">
        <f t="shared" si="17"/>
        <v>WO</v>
      </c>
      <c r="P20" s="18" t="s">
        <v>38</v>
      </c>
      <c r="Q20" s="18" t="s">
        <v>38</v>
      </c>
      <c r="R20" s="18" t="s">
        <v>38</v>
      </c>
      <c r="S20" s="18" t="s">
        <v>38</v>
      </c>
      <c r="T20" s="18" t="s">
        <v>38</v>
      </c>
      <c r="U20" s="18" t="s">
        <v>38</v>
      </c>
      <c r="V20" s="18" t="str">
        <f t="shared" si="17"/>
        <v>WO</v>
      </c>
      <c r="W20" s="18" t="s">
        <v>38</v>
      </c>
      <c r="X20" s="18" t="s">
        <v>38</v>
      </c>
      <c r="Y20" s="18" t="s">
        <v>38</v>
      </c>
      <c r="Z20" s="18" t="s">
        <v>38</v>
      </c>
      <c r="AA20" s="18" t="s">
        <v>38</v>
      </c>
      <c r="AB20" s="18" t="s">
        <v>38</v>
      </c>
      <c r="AC20" s="18" t="str">
        <f t="shared" si="16"/>
        <v>WO</v>
      </c>
      <c r="AD20" s="18" t="s">
        <v>38</v>
      </c>
      <c r="AE20" s="18" t="s">
        <v>38</v>
      </c>
      <c r="AF20" s="18" t="s">
        <v>38</v>
      </c>
      <c r="AG20" s="18" t="s">
        <v>38</v>
      </c>
      <c r="AH20" s="18" t="s">
        <v>38</v>
      </c>
      <c r="AI20" s="18" t="s">
        <v>38</v>
      </c>
      <c r="AJ20" s="18" t="str">
        <f t="shared" si="16"/>
        <v>WO</v>
      </c>
      <c r="AK20" s="18" t="s">
        <v>38</v>
      </c>
      <c r="AL20" s="18" t="s">
        <v>38</v>
      </c>
      <c r="AM20" s="18" t="s">
        <v>38</v>
      </c>
      <c r="AN20" s="19" t="str">
        <f t="shared" si="16"/>
        <v/>
      </c>
      <c r="AO20" s="32"/>
      <c r="AP20" s="34"/>
      <c r="AQ20" s="9">
        <v>12</v>
      </c>
      <c r="AR20" s="9">
        <v>1012</v>
      </c>
      <c r="AS20" s="9" t="str">
        <f t="shared" si="8"/>
        <v>April</v>
      </c>
      <c r="AT20" s="15" t="s">
        <v>14</v>
      </c>
      <c r="AU20" s="28">
        <f t="shared" si="4"/>
        <v>26</v>
      </c>
      <c r="AV20">
        <f t="shared" si="5"/>
        <v>0</v>
      </c>
      <c r="AW20">
        <f t="shared" si="6"/>
        <v>0</v>
      </c>
      <c r="AX20">
        <f t="shared" si="9"/>
        <v>4</v>
      </c>
      <c r="AY20" s="29">
        <f t="shared" si="10"/>
        <v>30</v>
      </c>
      <c r="AZ20" s="29">
        <f t="shared" si="11"/>
        <v>30</v>
      </c>
      <c r="BA20" s="30">
        <f t="shared" ca="1" si="12"/>
        <v>15562</v>
      </c>
      <c r="BB20" s="30">
        <f t="shared" ca="1" si="13"/>
        <v>518.73333333333335</v>
      </c>
      <c r="BC20" s="30">
        <f t="shared" ca="1" si="14"/>
        <v>0</v>
      </c>
      <c r="BD20" s="30">
        <f t="shared" ca="1" si="15"/>
        <v>15562</v>
      </c>
      <c r="BF20" s="34"/>
      <c r="BG20" s="31"/>
      <c r="BH20" s="31"/>
      <c r="BI20" s="31"/>
      <c r="BJ20" s="31"/>
    </row>
    <row r="21" spans="1:62" x14ac:dyDescent="0.3">
      <c r="C21" s="31"/>
      <c r="D21" s="31"/>
      <c r="E21" s="32"/>
      <c r="F21" s="8">
        <v>13</v>
      </c>
      <c r="G21" s="9">
        <v>1013</v>
      </c>
      <c r="H21" s="15" t="s">
        <v>15</v>
      </c>
      <c r="I21" s="17">
        <f t="shared" si="7"/>
        <v>4</v>
      </c>
      <c r="J21" s="18" t="s">
        <v>38</v>
      </c>
      <c r="K21" s="18" t="s">
        <v>39</v>
      </c>
      <c r="L21" s="18" t="s">
        <v>38</v>
      </c>
      <c r="M21" s="18" t="s">
        <v>38</v>
      </c>
      <c r="N21" s="18" t="s">
        <v>38</v>
      </c>
      <c r="O21" s="18" t="str">
        <f t="shared" si="17"/>
        <v>WO</v>
      </c>
      <c r="P21" s="18" t="s">
        <v>38</v>
      </c>
      <c r="Q21" s="18" t="s">
        <v>39</v>
      </c>
      <c r="R21" s="18" t="s">
        <v>38</v>
      </c>
      <c r="S21" s="18" t="s">
        <v>38</v>
      </c>
      <c r="T21" s="18" t="s">
        <v>38</v>
      </c>
      <c r="U21" s="18" t="s">
        <v>38</v>
      </c>
      <c r="V21" s="18" t="str">
        <f t="shared" si="17"/>
        <v>WO</v>
      </c>
      <c r="W21" s="18" t="s">
        <v>38</v>
      </c>
      <c r="X21" s="18" t="s">
        <v>39</v>
      </c>
      <c r="Y21" s="18" t="s">
        <v>38</v>
      </c>
      <c r="Z21" s="18" t="s">
        <v>38</v>
      </c>
      <c r="AA21" s="18" t="s">
        <v>38</v>
      </c>
      <c r="AB21" s="18" t="s">
        <v>38</v>
      </c>
      <c r="AC21" s="18" t="str">
        <f t="shared" si="16"/>
        <v>WO</v>
      </c>
      <c r="AD21" s="18" t="s">
        <v>38</v>
      </c>
      <c r="AE21" s="18" t="s">
        <v>39</v>
      </c>
      <c r="AF21" s="18" t="s">
        <v>38</v>
      </c>
      <c r="AG21" s="18" t="s">
        <v>38</v>
      </c>
      <c r="AH21" s="18" t="s">
        <v>38</v>
      </c>
      <c r="AI21" s="18" t="s">
        <v>38</v>
      </c>
      <c r="AJ21" s="18" t="str">
        <f t="shared" si="16"/>
        <v>WO</v>
      </c>
      <c r="AK21" s="18" t="s">
        <v>38</v>
      </c>
      <c r="AL21" s="18" t="s">
        <v>38</v>
      </c>
      <c r="AM21" s="18" t="s">
        <v>38</v>
      </c>
      <c r="AN21" s="19" t="str">
        <f t="shared" si="16"/>
        <v/>
      </c>
      <c r="AO21" s="32"/>
      <c r="AP21" s="34"/>
      <c r="AQ21" s="9">
        <v>13</v>
      </c>
      <c r="AR21" s="9">
        <v>1013</v>
      </c>
      <c r="AS21" s="9" t="str">
        <f t="shared" si="8"/>
        <v>April</v>
      </c>
      <c r="AT21" s="15" t="s">
        <v>15</v>
      </c>
      <c r="AU21" s="28">
        <f t="shared" si="4"/>
        <v>22</v>
      </c>
      <c r="AV21">
        <f t="shared" si="5"/>
        <v>4</v>
      </c>
      <c r="AW21">
        <f t="shared" si="6"/>
        <v>0</v>
      </c>
      <c r="AX21">
        <f t="shared" si="9"/>
        <v>4</v>
      </c>
      <c r="AY21" s="29">
        <f t="shared" si="10"/>
        <v>30</v>
      </c>
      <c r="AZ21" s="29">
        <f t="shared" si="11"/>
        <v>26</v>
      </c>
      <c r="BA21" s="30">
        <f t="shared" ca="1" si="12"/>
        <v>29026</v>
      </c>
      <c r="BB21" s="30">
        <f t="shared" ca="1" si="13"/>
        <v>1116.3846153846155</v>
      </c>
      <c r="BC21" s="30">
        <f t="shared" ca="1" si="14"/>
        <v>4465.5384615384619</v>
      </c>
      <c r="BD21" s="30">
        <f t="shared" ca="1" si="15"/>
        <v>24560.461538461539</v>
      </c>
      <c r="BF21" s="34"/>
      <c r="BG21" s="31"/>
      <c r="BH21" s="31"/>
      <c r="BI21" s="31"/>
      <c r="BJ21" s="31"/>
    </row>
    <row r="22" spans="1:62" x14ac:dyDescent="0.3">
      <c r="C22" s="31"/>
      <c r="D22" s="31"/>
      <c r="E22" s="32"/>
      <c r="F22" s="8">
        <v>14</v>
      </c>
      <c r="G22" s="9">
        <v>1014</v>
      </c>
      <c r="H22" s="15" t="s">
        <v>16</v>
      </c>
      <c r="I22" s="17">
        <f t="shared" si="7"/>
        <v>4</v>
      </c>
      <c r="J22" s="18" t="s">
        <v>38</v>
      </c>
      <c r="K22" s="18" t="s">
        <v>38</v>
      </c>
      <c r="L22" s="18" t="s">
        <v>38</v>
      </c>
      <c r="M22" s="18" t="s">
        <v>38</v>
      </c>
      <c r="N22" s="18" t="s">
        <v>38</v>
      </c>
      <c r="O22" s="18" t="str">
        <f t="shared" si="17"/>
        <v>WO</v>
      </c>
      <c r="P22" s="18" t="s">
        <v>38</v>
      </c>
      <c r="Q22" s="18" t="s">
        <v>38</v>
      </c>
      <c r="R22" s="18" t="s">
        <v>38</v>
      </c>
      <c r="S22" s="18" t="s">
        <v>38</v>
      </c>
      <c r="T22" s="18" t="s">
        <v>38</v>
      </c>
      <c r="U22" s="18" t="s">
        <v>38</v>
      </c>
      <c r="V22" s="18" t="str">
        <f t="shared" si="17"/>
        <v>WO</v>
      </c>
      <c r="W22" s="18" t="s">
        <v>38</v>
      </c>
      <c r="X22" s="18" t="s">
        <v>38</v>
      </c>
      <c r="Y22" s="18" t="s">
        <v>38</v>
      </c>
      <c r="Z22" s="18" t="s">
        <v>38</v>
      </c>
      <c r="AA22" s="18" t="s">
        <v>38</v>
      </c>
      <c r="AB22" s="18" t="s">
        <v>38</v>
      </c>
      <c r="AC22" s="18" t="str">
        <f t="shared" si="16"/>
        <v>WO</v>
      </c>
      <c r="AD22" s="18" t="s">
        <v>38</v>
      </c>
      <c r="AE22" s="18" t="s">
        <v>38</v>
      </c>
      <c r="AF22" s="18" t="s">
        <v>38</v>
      </c>
      <c r="AG22" s="18" t="s">
        <v>38</v>
      </c>
      <c r="AH22" s="18" t="s">
        <v>38</v>
      </c>
      <c r="AI22" s="18" t="s">
        <v>38</v>
      </c>
      <c r="AJ22" s="18" t="str">
        <f t="shared" si="16"/>
        <v>WO</v>
      </c>
      <c r="AK22" s="18" t="s">
        <v>38</v>
      </c>
      <c r="AL22" s="18" t="s">
        <v>38</v>
      </c>
      <c r="AM22" s="18" t="s">
        <v>38</v>
      </c>
      <c r="AN22" s="19" t="str">
        <f t="shared" si="16"/>
        <v/>
      </c>
      <c r="AO22" s="32"/>
      <c r="AP22" s="34"/>
      <c r="AQ22" s="9">
        <v>14</v>
      </c>
      <c r="AR22" s="9">
        <v>1014</v>
      </c>
      <c r="AS22" s="9" t="str">
        <f t="shared" si="8"/>
        <v>April</v>
      </c>
      <c r="AT22" s="15" t="s">
        <v>16</v>
      </c>
      <c r="AU22" s="28">
        <f t="shared" si="4"/>
        <v>26</v>
      </c>
      <c r="AV22">
        <f t="shared" si="5"/>
        <v>0</v>
      </c>
      <c r="AW22">
        <f t="shared" si="6"/>
        <v>0</v>
      </c>
      <c r="AX22">
        <f t="shared" si="9"/>
        <v>4</v>
      </c>
      <c r="AY22" s="29">
        <f t="shared" si="10"/>
        <v>30</v>
      </c>
      <c r="AZ22" s="29">
        <f t="shared" si="11"/>
        <v>30</v>
      </c>
      <c r="BA22" s="30">
        <f t="shared" ca="1" si="12"/>
        <v>42457</v>
      </c>
      <c r="BB22" s="30">
        <f t="shared" ca="1" si="13"/>
        <v>1415.2333333333333</v>
      </c>
      <c r="BC22" s="30">
        <f t="shared" ca="1" si="14"/>
        <v>0</v>
      </c>
      <c r="BD22" s="30">
        <f t="shared" ca="1" si="15"/>
        <v>42457</v>
      </c>
      <c r="BF22" s="34"/>
      <c r="BG22" s="31"/>
      <c r="BH22" s="31"/>
      <c r="BI22" s="31"/>
      <c r="BJ22" s="31"/>
    </row>
    <row r="23" spans="1:62" x14ac:dyDescent="0.3">
      <c r="C23" s="31"/>
      <c r="D23" s="31"/>
      <c r="E23" s="32"/>
      <c r="F23" s="8">
        <v>15</v>
      </c>
      <c r="G23" s="9">
        <v>1015</v>
      </c>
      <c r="H23" s="15" t="s">
        <v>17</v>
      </c>
      <c r="I23" s="17">
        <f t="shared" si="7"/>
        <v>4</v>
      </c>
      <c r="J23" s="18" t="s">
        <v>38</v>
      </c>
      <c r="K23" s="18" t="s">
        <v>38</v>
      </c>
      <c r="L23" s="18" t="s">
        <v>38</v>
      </c>
      <c r="M23" s="18" t="s">
        <v>38</v>
      </c>
      <c r="N23" s="18" t="s">
        <v>38</v>
      </c>
      <c r="O23" s="18" t="str">
        <f t="shared" si="17"/>
        <v>WO</v>
      </c>
      <c r="P23" s="18" t="s">
        <v>38</v>
      </c>
      <c r="Q23" s="18" t="s">
        <v>38</v>
      </c>
      <c r="R23" s="18" t="s">
        <v>38</v>
      </c>
      <c r="S23" s="18" t="s">
        <v>38</v>
      </c>
      <c r="T23" s="18" t="s">
        <v>38</v>
      </c>
      <c r="U23" s="18" t="s">
        <v>38</v>
      </c>
      <c r="V23" s="18" t="str">
        <f t="shared" si="17"/>
        <v>WO</v>
      </c>
      <c r="W23" s="18" t="s">
        <v>38</v>
      </c>
      <c r="X23" s="18" t="s">
        <v>38</v>
      </c>
      <c r="Y23" s="18" t="s">
        <v>38</v>
      </c>
      <c r="Z23" s="18" t="s">
        <v>38</v>
      </c>
      <c r="AA23" s="18" t="s">
        <v>38</v>
      </c>
      <c r="AB23" s="18" t="s">
        <v>38</v>
      </c>
      <c r="AC23" s="18" t="str">
        <f t="shared" si="16"/>
        <v>WO</v>
      </c>
      <c r="AD23" s="18" t="s">
        <v>38</v>
      </c>
      <c r="AE23" s="18" t="s">
        <v>38</v>
      </c>
      <c r="AF23" s="18" t="s">
        <v>38</v>
      </c>
      <c r="AG23" s="18" t="s">
        <v>38</v>
      </c>
      <c r="AH23" s="18" t="s">
        <v>38</v>
      </c>
      <c r="AI23" s="18" t="s">
        <v>38</v>
      </c>
      <c r="AJ23" s="18" t="str">
        <f t="shared" si="16"/>
        <v>WO</v>
      </c>
      <c r="AK23" s="18" t="s">
        <v>38</v>
      </c>
      <c r="AL23" s="18" t="s">
        <v>38</v>
      </c>
      <c r="AM23" s="18" t="s">
        <v>38</v>
      </c>
      <c r="AN23" s="19" t="str">
        <f t="shared" si="16"/>
        <v/>
      </c>
      <c r="AO23" s="32"/>
      <c r="AP23" s="34"/>
      <c r="AQ23" s="9">
        <v>15</v>
      </c>
      <c r="AR23" s="9">
        <v>1015</v>
      </c>
      <c r="AS23" s="9" t="str">
        <f t="shared" si="8"/>
        <v>April</v>
      </c>
      <c r="AT23" s="15" t="s">
        <v>17</v>
      </c>
      <c r="AU23" s="28">
        <f t="shared" si="4"/>
        <v>26</v>
      </c>
      <c r="AV23">
        <f t="shared" si="5"/>
        <v>0</v>
      </c>
      <c r="AW23">
        <f t="shared" si="6"/>
        <v>0</v>
      </c>
      <c r="AX23">
        <f t="shared" si="9"/>
        <v>4</v>
      </c>
      <c r="AY23" s="29">
        <f t="shared" si="10"/>
        <v>30</v>
      </c>
      <c r="AZ23" s="29">
        <f t="shared" si="11"/>
        <v>30</v>
      </c>
      <c r="BA23" s="30">
        <f t="shared" ca="1" si="12"/>
        <v>34174</v>
      </c>
      <c r="BB23" s="30">
        <f t="shared" ca="1" si="13"/>
        <v>1139.1333333333334</v>
      </c>
      <c r="BC23" s="30">
        <f t="shared" ca="1" si="14"/>
        <v>0</v>
      </c>
      <c r="BD23" s="30">
        <f t="shared" ca="1" si="15"/>
        <v>34174</v>
      </c>
      <c r="BF23" s="34"/>
      <c r="BG23" s="31"/>
      <c r="BH23" s="31"/>
      <c r="BI23" s="31"/>
      <c r="BJ23" s="31"/>
    </row>
    <row r="24" spans="1:62" x14ac:dyDescent="0.3">
      <c r="C24" s="31"/>
      <c r="D24" s="31"/>
      <c r="E24" s="32"/>
      <c r="F24" s="8">
        <v>16</v>
      </c>
      <c r="G24" s="9">
        <v>1016</v>
      </c>
      <c r="H24" s="15" t="s">
        <v>18</v>
      </c>
      <c r="I24" s="17">
        <f t="shared" si="7"/>
        <v>4</v>
      </c>
      <c r="J24" s="18" t="s">
        <v>38</v>
      </c>
      <c r="K24" s="18" t="s">
        <v>38</v>
      </c>
      <c r="L24" s="18" t="s">
        <v>39</v>
      </c>
      <c r="M24" s="18" t="s">
        <v>38</v>
      </c>
      <c r="N24" s="18" t="s">
        <v>39</v>
      </c>
      <c r="O24" s="18" t="str">
        <f t="shared" si="17"/>
        <v>WO</v>
      </c>
      <c r="P24" s="18" t="s">
        <v>38</v>
      </c>
      <c r="Q24" s="18" t="s">
        <v>38</v>
      </c>
      <c r="R24" s="18" t="s">
        <v>38</v>
      </c>
      <c r="S24" s="18" t="s">
        <v>38</v>
      </c>
      <c r="T24" s="18" t="s">
        <v>38</v>
      </c>
      <c r="U24" s="18" t="s">
        <v>39</v>
      </c>
      <c r="V24" s="18" t="str">
        <f t="shared" si="17"/>
        <v>WO</v>
      </c>
      <c r="W24" s="18" t="s">
        <v>38</v>
      </c>
      <c r="X24" s="18" t="s">
        <v>38</v>
      </c>
      <c r="Y24" s="18" t="s">
        <v>39</v>
      </c>
      <c r="Z24" s="18" t="s">
        <v>38</v>
      </c>
      <c r="AA24" s="18" t="s">
        <v>40</v>
      </c>
      <c r="AB24" s="18" t="s">
        <v>39</v>
      </c>
      <c r="AC24" s="18" t="str">
        <f t="shared" si="16"/>
        <v>WO</v>
      </c>
      <c r="AD24" s="18" t="s">
        <v>38</v>
      </c>
      <c r="AE24" s="18" t="s">
        <v>38</v>
      </c>
      <c r="AF24" s="18" t="s">
        <v>40</v>
      </c>
      <c r="AG24" s="18" t="s">
        <v>38</v>
      </c>
      <c r="AH24" s="18" t="s">
        <v>38</v>
      </c>
      <c r="AI24" s="18" t="s">
        <v>40</v>
      </c>
      <c r="AJ24" s="18" t="str">
        <f t="shared" si="16"/>
        <v>WO</v>
      </c>
      <c r="AK24" s="18" t="s">
        <v>39</v>
      </c>
      <c r="AL24" s="18" t="s">
        <v>39</v>
      </c>
      <c r="AM24" s="18" t="s">
        <v>39</v>
      </c>
      <c r="AN24" s="19" t="str">
        <f t="shared" si="16"/>
        <v/>
      </c>
      <c r="AO24" s="32"/>
      <c r="AP24" s="34"/>
      <c r="AQ24" s="9">
        <v>16</v>
      </c>
      <c r="AR24" s="9">
        <v>1016</v>
      </c>
      <c r="AS24" s="9" t="str">
        <f t="shared" si="8"/>
        <v>April</v>
      </c>
      <c r="AT24" s="15" t="s">
        <v>18</v>
      </c>
      <c r="AU24" s="28">
        <f t="shared" si="4"/>
        <v>15</v>
      </c>
      <c r="AV24">
        <f t="shared" si="5"/>
        <v>8</v>
      </c>
      <c r="AW24">
        <f t="shared" si="6"/>
        <v>3</v>
      </c>
      <c r="AX24">
        <f t="shared" si="9"/>
        <v>4</v>
      </c>
      <c r="AY24" s="29">
        <f t="shared" si="10"/>
        <v>30</v>
      </c>
      <c r="AZ24" s="29">
        <f t="shared" si="11"/>
        <v>22</v>
      </c>
      <c r="BA24" s="30">
        <f t="shared" ca="1" si="12"/>
        <v>39075</v>
      </c>
      <c r="BB24" s="30">
        <f t="shared" ca="1" si="13"/>
        <v>1776.1363636363637</v>
      </c>
      <c r="BC24" s="30">
        <f t="shared" ca="1" si="14"/>
        <v>14209.09090909091</v>
      </c>
      <c r="BD24" s="30">
        <f t="shared" ca="1" si="15"/>
        <v>24865.909090909088</v>
      </c>
      <c r="BF24" s="34"/>
      <c r="BG24" s="31"/>
      <c r="BH24" s="31"/>
      <c r="BI24" s="31"/>
      <c r="BJ24" s="31"/>
    </row>
    <row r="25" spans="1:62" x14ac:dyDescent="0.3">
      <c r="C25" s="31"/>
      <c r="D25" s="31"/>
      <c r="E25" s="32"/>
      <c r="F25" s="8">
        <v>17</v>
      </c>
      <c r="G25" s="9">
        <v>1017</v>
      </c>
      <c r="H25" s="15" t="s">
        <v>19</v>
      </c>
      <c r="I25" s="17">
        <f t="shared" si="7"/>
        <v>4</v>
      </c>
      <c r="J25" s="18" t="s">
        <v>39</v>
      </c>
      <c r="K25" s="18" t="s">
        <v>38</v>
      </c>
      <c r="L25" s="18" t="s">
        <v>38</v>
      </c>
      <c r="M25" s="18" t="s">
        <v>38</v>
      </c>
      <c r="N25" s="18" t="s">
        <v>38</v>
      </c>
      <c r="O25" s="18" t="str">
        <f t="shared" si="17"/>
        <v>WO</v>
      </c>
      <c r="P25" s="18" t="s">
        <v>39</v>
      </c>
      <c r="Q25" s="18" t="s">
        <v>38</v>
      </c>
      <c r="R25" s="18" t="s">
        <v>38</v>
      </c>
      <c r="S25" s="18" t="s">
        <v>38</v>
      </c>
      <c r="T25" s="18" t="s">
        <v>38</v>
      </c>
      <c r="U25" s="18" t="s">
        <v>38</v>
      </c>
      <c r="V25" s="18" t="str">
        <f t="shared" si="17"/>
        <v>WO</v>
      </c>
      <c r="W25" s="18" t="s">
        <v>39</v>
      </c>
      <c r="X25" s="18" t="s">
        <v>38</v>
      </c>
      <c r="Y25" s="18" t="s">
        <v>38</v>
      </c>
      <c r="Z25" s="18" t="s">
        <v>38</v>
      </c>
      <c r="AA25" s="18" t="s">
        <v>38</v>
      </c>
      <c r="AB25" s="18" t="s">
        <v>38</v>
      </c>
      <c r="AC25" s="18" t="str">
        <f t="shared" si="16"/>
        <v>WO</v>
      </c>
      <c r="AD25" s="18" t="s">
        <v>39</v>
      </c>
      <c r="AE25" s="18" t="s">
        <v>38</v>
      </c>
      <c r="AF25" s="18" t="s">
        <v>38</v>
      </c>
      <c r="AG25" s="18" t="s">
        <v>38</v>
      </c>
      <c r="AH25" s="18" t="s">
        <v>38</v>
      </c>
      <c r="AI25" s="18" t="s">
        <v>38</v>
      </c>
      <c r="AJ25" s="18" t="str">
        <f t="shared" si="16"/>
        <v>WO</v>
      </c>
      <c r="AK25" s="18" t="s">
        <v>38</v>
      </c>
      <c r="AL25" s="18" t="s">
        <v>38</v>
      </c>
      <c r="AM25" s="18" t="s">
        <v>38</v>
      </c>
      <c r="AN25" s="19" t="str">
        <f t="shared" si="16"/>
        <v/>
      </c>
      <c r="AO25" s="32"/>
      <c r="AP25" s="34"/>
      <c r="AQ25" s="9">
        <v>17</v>
      </c>
      <c r="AR25" s="9">
        <v>1017</v>
      </c>
      <c r="AS25" s="9" t="str">
        <f t="shared" si="8"/>
        <v>April</v>
      </c>
      <c r="AT25" s="15" t="s">
        <v>19</v>
      </c>
      <c r="AU25" s="28">
        <f t="shared" si="4"/>
        <v>22</v>
      </c>
      <c r="AV25">
        <f t="shared" si="5"/>
        <v>4</v>
      </c>
      <c r="AW25">
        <f t="shared" si="6"/>
        <v>0</v>
      </c>
      <c r="AX25">
        <f t="shared" si="9"/>
        <v>4</v>
      </c>
      <c r="AY25" s="29">
        <f t="shared" si="10"/>
        <v>30</v>
      </c>
      <c r="AZ25" s="29">
        <f t="shared" si="11"/>
        <v>26</v>
      </c>
      <c r="BA25" s="30">
        <f t="shared" ca="1" si="12"/>
        <v>27665</v>
      </c>
      <c r="BB25" s="30">
        <f t="shared" ca="1" si="13"/>
        <v>1064.0384615384614</v>
      </c>
      <c r="BC25" s="30">
        <f t="shared" ca="1" si="14"/>
        <v>4256.1538461538457</v>
      </c>
      <c r="BD25" s="30">
        <f t="shared" ca="1" si="15"/>
        <v>23408.846153846156</v>
      </c>
      <c r="BF25" s="34"/>
      <c r="BG25" s="31"/>
      <c r="BH25" s="31"/>
      <c r="BI25" s="31"/>
      <c r="BJ25" s="31"/>
    </row>
    <row r="26" spans="1:62" x14ac:dyDescent="0.3">
      <c r="C26" s="31"/>
      <c r="D26" s="31"/>
      <c r="E26" s="32"/>
      <c r="F26" s="8">
        <v>18</v>
      </c>
      <c r="G26" s="9">
        <v>1018</v>
      </c>
      <c r="H26" s="15" t="s">
        <v>22</v>
      </c>
      <c r="I26" s="17">
        <f t="shared" si="7"/>
        <v>4</v>
      </c>
      <c r="J26" s="18" t="s">
        <v>38</v>
      </c>
      <c r="K26" s="18" t="s">
        <v>38</v>
      </c>
      <c r="L26" s="18" t="s">
        <v>38</v>
      </c>
      <c r="M26" s="18" t="s">
        <v>38</v>
      </c>
      <c r="N26" s="18" t="s">
        <v>38</v>
      </c>
      <c r="O26" s="18" t="str">
        <f t="shared" si="17"/>
        <v>WO</v>
      </c>
      <c r="P26" s="18" t="s">
        <v>38</v>
      </c>
      <c r="Q26" s="18" t="s">
        <v>38</v>
      </c>
      <c r="R26" s="18" t="s">
        <v>38</v>
      </c>
      <c r="S26" s="18" t="s">
        <v>38</v>
      </c>
      <c r="T26" s="18" t="s">
        <v>38</v>
      </c>
      <c r="U26" s="18" t="s">
        <v>38</v>
      </c>
      <c r="V26" s="18" t="str">
        <f t="shared" si="17"/>
        <v>WO</v>
      </c>
      <c r="W26" s="18" t="s">
        <v>38</v>
      </c>
      <c r="X26" s="18" t="s">
        <v>38</v>
      </c>
      <c r="Y26" s="18" t="s">
        <v>38</v>
      </c>
      <c r="Z26" s="18" t="s">
        <v>38</v>
      </c>
      <c r="AA26" s="18" t="s">
        <v>38</v>
      </c>
      <c r="AB26" s="18" t="s">
        <v>38</v>
      </c>
      <c r="AC26" s="18" t="str">
        <f t="shared" si="16"/>
        <v>WO</v>
      </c>
      <c r="AD26" s="18" t="s">
        <v>38</v>
      </c>
      <c r="AE26" s="18" t="s">
        <v>38</v>
      </c>
      <c r="AF26" s="18" t="s">
        <v>38</v>
      </c>
      <c r="AG26" s="18" t="s">
        <v>38</v>
      </c>
      <c r="AH26" s="18" t="s">
        <v>38</v>
      </c>
      <c r="AI26" s="18" t="s">
        <v>38</v>
      </c>
      <c r="AJ26" s="18" t="str">
        <f t="shared" si="16"/>
        <v>WO</v>
      </c>
      <c r="AK26" s="18" t="s">
        <v>38</v>
      </c>
      <c r="AL26" s="18" t="s">
        <v>38</v>
      </c>
      <c r="AM26" s="18" t="s">
        <v>38</v>
      </c>
      <c r="AN26" s="19" t="str">
        <f t="shared" si="16"/>
        <v/>
      </c>
      <c r="AO26" s="32"/>
      <c r="AP26" s="34"/>
      <c r="AQ26" s="9">
        <v>18</v>
      </c>
      <c r="AR26" s="9">
        <v>1018</v>
      </c>
      <c r="AS26" s="9" t="str">
        <f t="shared" si="8"/>
        <v>April</v>
      </c>
      <c r="AT26" s="15" t="s">
        <v>22</v>
      </c>
      <c r="AU26" s="28">
        <f t="shared" si="4"/>
        <v>26</v>
      </c>
      <c r="AV26">
        <f t="shared" si="5"/>
        <v>0</v>
      </c>
      <c r="AW26">
        <f t="shared" si="6"/>
        <v>0</v>
      </c>
      <c r="AX26">
        <f t="shared" si="9"/>
        <v>4</v>
      </c>
      <c r="AY26" s="29">
        <f t="shared" si="10"/>
        <v>30</v>
      </c>
      <c r="AZ26" s="29">
        <f t="shared" si="11"/>
        <v>30</v>
      </c>
      <c r="BA26" s="30">
        <f t="shared" ca="1" si="12"/>
        <v>27618</v>
      </c>
      <c r="BB26" s="30">
        <f t="shared" ca="1" si="13"/>
        <v>920.6</v>
      </c>
      <c r="BC26" s="30">
        <f t="shared" ca="1" si="14"/>
        <v>0</v>
      </c>
      <c r="BD26" s="30">
        <f t="shared" ca="1" si="15"/>
        <v>27618</v>
      </c>
      <c r="BF26" s="34"/>
      <c r="BG26" s="31"/>
      <c r="BH26" s="31"/>
      <c r="BI26" s="31"/>
      <c r="BJ26" s="31"/>
    </row>
    <row r="27" spans="1:62" x14ac:dyDescent="0.3">
      <c r="C27" s="31"/>
      <c r="D27" s="31"/>
      <c r="E27" s="32"/>
      <c r="F27" s="8">
        <v>19</v>
      </c>
      <c r="G27" s="9">
        <v>1019</v>
      </c>
      <c r="H27" s="15" t="s">
        <v>20</v>
      </c>
      <c r="I27" s="17">
        <f t="shared" si="7"/>
        <v>4</v>
      </c>
      <c r="J27" s="18" t="s">
        <v>38</v>
      </c>
      <c r="K27" s="18" t="s">
        <v>39</v>
      </c>
      <c r="L27" s="18" t="s">
        <v>38</v>
      </c>
      <c r="M27" s="18" t="s">
        <v>38</v>
      </c>
      <c r="N27" s="18" t="s">
        <v>38</v>
      </c>
      <c r="O27" s="18" t="str">
        <f t="shared" si="17"/>
        <v>WO</v>
      </c>
      <c r="P27" s="18" t="s">
        <v>38</v>
      </c>
      <c r="Q27" s="18" t="s">
        <v>38</v>
      </c>
      <c r="R27" s="18" t="s">
        <v>38</v>
      </c>
      <c r="S27" s="18" t="s">
        <v>38</v>
      </c>
      <c r="T27" s="18" t="s">
        <v>38</v>
      </c>
      <c r="U27" s="18" t="s">
        <v>38</v>
      </c>
      <c r="V27" s="18" t="str">
        <f t="shared" si="17"/>
        <v>WO</v>
      </c>
      <c r="W27" s="18" t="s">
        <v>40</v>
      </c>
      <c r="X27" s="18" t="s">
        <v>38</v>
      </c>
      <c r="Y27" s="18" t="s">
        <v>38</v>
      </c>
      <c r="Z27" s="18" t="s">
        <v>38</v>
      </c>
      <c r="AA27" s="18" t="s">
        <v>38</v>
      </c>
      <c r="AB27" s="18" t="s">
        <v>38</v>
      </c>
      <c r="AC27" s="18" t="str">
        <f t="shared" si="16"/>
        <v>WO</v>
      </c>
      <c r="AD27" s="18" t="s">
        <v>38</v>
      </c>
      <c r="AE27" s="18" t="s">
        <v>39</v>
      </c>
      <c r="AF27" s="18" t="s">
        <v>38</v>
      </c>
      <c r="AG27" s="18" t="s">
        <v>38</v>
      </c>
      <c r="AH27" s="18" t="s">
        <v>38</v>
      </c>
      <c r="AI27" s="18" t="s">
        <v>38</v>
      </c>
      <c r="AJ27" s="18" t="str">
        <f t="shared" si="16"/>
        <v>WO</v>
      </c>
      <c r="AK27" s="18" t="s">
        <v>38</v>
      </c>
      <c r="AL27" s="18" t="s">
        <v>38</v>
      </c>
      <c r="AM27" s="18" t="s">
        <v>38</v>
      </c>
      <c r="AN27" s="19" t="str">
        <f t="shared" si="16"/>
        <v/>
      </c>
      <c r="AO27" s="32"/>
      <c r="AP27" s="34"/>
      <c r="AQ27" s="9">
        <v>19</v>
      </c>
      <c r="AR27" s="9">
        <v>1019</v>
      </c>
      <c r="AS27" s="9" t="str">
        <f t="shared" si="8"/>
        <v>April</v>
      </c>
      <c r="AT27" s="15" t="s">
        <v>20</v>
      </c>
      <c r="AU27" s="28">
        <f t="shared" si="4"/>
        <v>23</v>
      </c>
      <c r="AV27">
        <f t="shared" si="5"/>
        <v>2</v>
      </c>
      <c r="AW27">
        <f t="shared" si="6"/>
        <v>1</v>
      </c>
      <c r="AX27">
        <f t="shared" si="9"/>
        <v>4</v>
      </c>
      <c r="AY27" s="29">
        <f t="shared" si="10"/>
        <v>30</v>
      </c>
      <c r="AZ27" s="29">
        <f t="shared" si="11"/>
        <v>28</v>
      </c>
      <c r="BA27" s="30">
        <f t="shared" ca="1" si="12"/>
        <v>49323</v>
      </c>
      <c r="BB27" s="30">
        <f t="shared" ca="1" si="13"/>
        <v>1761.5357142857142</v>
      </c>
      <c r="BC27" s="30">
        <f t="shared" ca="1" si="14"/>
        <v>3523.0714285714284</v>
      </c>
      <c r="BD27" s="30">
        <f t="shared" ca="1" si="15"/>
        <v>45799.928571428572</v>
      </c>
      <c r="BF27" s="34"/>
      <c r="BG27" s="31"/>
      <c r="BH27" s="31"/>
      <c r="BI27" s="31"/>
      <c r="BJ27" s="31"/>
    </row>
    <row r="28" spans="1:62" ht="15" thickBot="1" x14ac:dyDescent="0.35">
      <c r="C28" s="31"/>
      <c r="D28" s="31"/>
      <c r="E28" s="32"/>
      <c r="F28" s="10">
        <v>20</v>
      </c>
      <c r="G28" s="11">
        <v>1020</v>
      </c>
      <c r="H28" s="16" t="s">
        <v>21</v>
      </c>
      <c r="I28" s="20">
        <f t="shared" si="7"/>
        <v>4</v>
      </c>
      <c r="J28" s="21" t="s">
        <v>38</v>
      </c>
      <c r="K28" s="21" t="s">
        <v>38</v>
      </c>
      <c r="L28" s="21" t="s">
        <v>38</v>
      </c>
      <c r="M28" s="21" t="s">
        <v>39</v>
      </c>
      <c r="N28" s="21" t="s">
        <v>38</v>
      </c>
      <c r="O28" s="21" t="str">
        <f t="shared" si="17"/>
        <v>WO</v>
      </c>
      <c r="P28" s="21" t="s">
        <v>38</v>
      </c>
      <c r="Q28" s="21" t="s">
        <v>38</v>
      </c>
      <c r="R28" s="21" t="s">
        <v>38</v>
      </c>
      <c r="S28" s="21" t="s">
        <v>39</v>
      </c>
      <c r="T28" s="21" t="s">
        <v>38</v>
      </c>
      <c r="U28" s="21" t="s">
        <v>38</v>
      </c>
      <c r="V28" s="21" t="str">
        <f t="shared" si="17"/>
        <v>WO</v>
      </c>
      <c r="W28" s="21" t="s">
        <v>38</v>
      </c>
      <c r="X28" s="21" t="s">
        <v>38</v>
      </c>
      <c r="Y28" s="21" t="s">
        <v>38</v>
      </c>
      <c r="Z28" s="21" t="s">
        <v>39</v>
      </c>
      <c r="AA28" s="21" t="s">
        <v>38</v>
      </c>
      <c r="AB28" s="21" t="s">
        <v>38</v>
      </c>
      <c r="AC28" s="21" t="str">
        <f t="shared" si="16"/>
        <v>WO</v>
      </c>
      <c r="AD28" s="21" t="s">
        <v>38</v>
      </c>
      <c r="AE28" s="21" t="s">
        <v>38</v>
      </c>
      <c r="AF28" s="21" t="s">
        <v>38</v>
      </c>
      <c r="AG28" s="21" t="s">
        <v>39</v>
      </c>
      <c r="AH28" s="21" t="s">
        <v>38</v>
      </c>
      <c r="AI28" s="21" t="s">
        <v>38</v>
      </c>
      <c r="AJ28" s="21" t="str">
        <f t="shared" si="16"/>
        <v>WO</v>
      </c>
      <c r="AK28" s="21" t="s">
        <v>38</v>
      </c>
      <c r="AL28" s="21" t="s">
        <v>38</v>
      </c>
      <c r="AM28" s="21" t="s">
        <v>38</v>
      </c>
      <c r="AN28" s="22" t="str">
        <f t="shared" si="16"/>
        <v/>
      </c>
      <c r="AO28" s="32"/>
      <c r="AP28" s="34"/>
      <c r="AQ28" s="9">
        <v>20</v>
      </c>
      <c r="AR28" s="9">
        <v>1020</v>
      </c>
      <c r="AS28" s="9" t="str">
        <f t="shared" si="8"/>
        <v>April</v>
      </c>
      <c r="AT28" s="15" t="s">
        <v>21</v>
      </c>
      <c r="AU28" s="28">
        <f t="shared" si="4"/>
        <v>22</v>
      </c>
      <c r="AV28">
        <f t="shared" si="5"/>
        <v>4</v>
      </c>
      <c r="AW28">
        <f t="shared" si="6"/>
        <v>0</v>
      </c>
      <c r="AX28">
        <f t="shared" si="9"/>
        <v>4</v>
      </c>
      <c r="AY28" s="29">
        <f t="shared" si="10"/>
        <v>30</v>
      </c>
      <c r="AZ28" s="29">
        <f t="shared" si="11"/>
        <v>26</v>
      </c>
      <c r="BA28" s="30">
        <f t="shared" ca="1" si="12"/>
        <v>31030</v>
      </c>
      <c r="BB28" s="30">
        <f t="shared" ca="1" si="13"/>
        <v>1193.4615384615386</v>
      </c>
      <c r="BC28" s="30">
        <f t="shared" ca="1" si="14"/>
        <v>4773.8461538461543</v>
      </c>
      <c r="BD28" s="30">
        <f t="shared" ca="1" si="15"/>
        <v>26256.153846153844</v>
      </c>
      <c r="BF28" s="34"/>
      <c r="BG28" s="31"/>
      <c r="BH28" s="31"/>
      <c r="BI28" s="31"/>
      <c r="BJ28" s="31"/>
    </row>
    <row r="29" spans="1:62" x14ac:dyDescent="0.3">
      <c r="A29" s="31"/>
      <c r="B29" s="31"/>
      <c r="C29" s="31"/>
      <c r="D29" s="31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1"/>
      <c r="BH29" s="31"/>
      <c r="BI29" s="31"/>
      <c r="BJ29" s="31"/>
    </row>
    <row r="30" spans="1:62" x14ac:dyDescent="0.3">
      <c r="A30" s="31"/>
      <c r="B30" s="31"/>
      <c r="C30" s="31"/>
      <c r="D30" s="31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1"/>
      <c r="BH30" s="31"/>
      <c r="BI30" s="31"/>
      <c r="BJ30" s="31"/>
    </row>
    <row r="31" spans="1:62" x14ac:dyDescent="0.3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</row>
    <row r="32" spans="1:62" x14ac:dyDescent="0.3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</row>
    <row r="33" spans="1:62" x14ac:dyDescent="0.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</row>
    <row r="34" spans="1:62" x14ac:dyDescent="0.3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</row>
    <row r="35" spans="1:62" x14ac:dyDescent="0.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</row>
    <row r="36" spans="1:62" x14ac:dyDescent="0.3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</row>
    <row r="37" spans="1:62" x14ac:dyDescent="0.3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</row>
    <row r="38" spans="1:62" x14ac:dyDescent="0.3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</row>
    <row r="39" spans="1:62" x14ac:dyDescent="0.3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</row>
    <row r="40" spans="1:62" x14ac:dyDescent="0.3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</row>
    <row r="41" spans="1:62" x14ac:dyDescent="0.3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</row>
    <row r="42" spans="1:62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</row>
    <row r="43" spans="1:62" x14ac:dyDescent="0.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</row>
    <row r="44" spans="1:62" x14ac:dyDescent="0.3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</row>
    <row r="45" spans="1:62" x14ac:dyDescent="0.3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</row>
    <row r="46" spans="1:62" x14ac:dyDescent="0.3">
      <c r="AO46" s="31"/>
      <c r="AP46" s="31"/>
      <c r="BF46" s="31"/>
      <c r="BG46" s="31"/>
      <c r="BH46" s="31"/>
      <c r="BI46" s="31"/>
      <c r="BJ46" s="31"/>
    </row>
    <row r="47" spans="1:62" x14ac:dyDescent="0.3">
      <c r="AO47" s="31"/>
      <c r="AP47" s="31"/>
      <c r="BF47" s="31"/>
      <c r="BG47" s="31"/>
      <c r="BH47" s="31"/>
      <c r="BI47" s="31"/>
      <c r="BJ47" s="31"/>
    </row>
    <row r="48" spans="1:62" x14ac:dyDescent="0.3">
      <c r="AO48" s="31"/>
      <c r="AP48" s="31"/>
      <c r="BF48" s="31"/>
      <c r="BG48" s="31"/>
      <c r="BH48" s="31"/>
      <c r="BI48" s="31"/>
      <c r="BJ48" s="31"/>
    </row>
    <row r="49" spans="41:62" x14ac:dyDescent="0.3">
      <c r="AO49" s="31"/>
      <c r="AP49" s="31"/>
      <c r="BF49" s="31"/>
      <c r="BG49" s="31"/>
      <c r="BH49" s="31"/>
      <c r="BI49" s="31"/>
      <c r="BJ49" s="31"/>
    </row>
  </sheetData>
  <conditionalFormatting sqref="J9:N28">
    <cfRule type="containsText" dxfId="294" priority="39" operator="containsText" text="P">
      <formula>NOT(ISERROR(SEARCH("P",J9)))</formula>
    </cfRule>
    <cfRule type="containsText" dxfId="293" priority="37" operator="containsText" text="L">
      <formula>NOT(ISERROR(SEARCH("L",J9)))</formula>
    </cfRule>
    <cfRule type="containsText" dxfId="292" priority="38" operator="containsText" text="A">
      <formula>NOT(ISERROR(SEARCH("A",J9)))</formula>
    </cfRule>
    <cfRule type="containsText" dxfId="291" priority="40" operator="containsText" text="WO">
      <formula>NOT(ISERROR(SEARCH("WO",J9)))</formula>
    </cfRule>
  </conditionalFormatting>
  <conditionalFormatting sqref="O9:O28 V9:V28 AC9:AC28 AJ9:AJ28 AN9:AN28">
    <cfRule type="containsText" dxfId="290" priority="69" operator="containsText" text="A">
      <formula>NOT(ISERROR(SEARCH("A",O9)))</formula>
    </cfRule>
    <cfRule type="containsText" dxfId="289" priority="73" operator="containsText" text="P">
      <formula>NOT(ISERROR(SEARCH("P",O9)))</formula>
    </cfRule>
    <cfRule type="containsText" dxfId="288" priority="74" operator="containsText" text="L">
      <formula>NOT(ISERROR(SEARCH("L",O9)))</formula>
    </cfRule>
    <cfRule type="containsText" dxfId="287" priority="75" operator="containsText" text="A">
      <formula>NOT(ISERROR(SEARCH("A",O9)))</formula>
    </cfRule>
    <cfRule type="containsText" dxfId="286" priority="76" operator="containsText" text="P">
      <formula>NOT(ISERROR(SEARCH("P",O9)))</formula>
    </cfRule>
    <cfRule type="containsText" dxfId="285" priority="77" operator="containsText" text="WO">
      <formula>NOT(ISERROR(SEARCH("WO",O9)))</formula>
    </cfRule>
    <cfRule type="containsText" dxfId="284" priority="57" operator="containsText" text="L">
      <formula>NOT(ISERROR(SEARCH("L",O9)))</formula>
    </cfRule>
    <cfRule type="containsText" dxfId="283" priority="58" operator="containsText" text="A">
      <formula>NOT(ISERROR(SEARCH("A",O9)))</formula>
    </cfRule>
    <cfRule type="containsText" dxfId="282" priority="59" operator="containsText" text="P">
      <formula>NOT(ISERROR(SEARCH("P",O9)))</formula>
    </cfRule>
  </conditionalFormatting>
  <conditionalFormatting sqref="O9:O28">
    <cfRule type="containsText" dxfId="281" priority="67" operator="containsText" text="A">
      <formula>NOT(ISERROR(SEARCH("A",O9)))</formula>
    </cfRule>
    <cfRule type="containsText" dxfId="280" priority="68" operator="containsText" text="P">
      <formula>NOT(ISERROR(SEARCH("P",O9)))</formula>
    </cfRule>
  </conditionalFormatting>
  <conditionalFormatting sqref="P9:U28">
    <cfRule type="containsText" dxfId="279" priority="29" operator="containsText" text="L">
      <formula>NOT(ISERROR(SEARCH("L",P9)))</formula>
    </cfRule>
    <cfRule type="containsText" dxfId="278" priority="30" operator="containsText" text="A">
      <formula>NOT(ISERROR(SEARCH("A",P9)))</formula>
    </cfRule>
    <cfRule type="containsText" dxfId="277" priority="31" operator="containsText" text="P">
      <formula>NOT(ISERROR(SEARCH("P",P9)))</formula>
    </cfRule>
    <cfRule type="containsText" dxfId="276" priority="32" operator="containsText" text="WO">
      <formula>NOT(ISERROR(SEARCH("WO",P9)))</formula>
    </cfRule>
  </conditionalFormatting>
  <conditionalFormatting sqref="V9:V28">
    <cfRule type="containsText" dxfId="275" priority="64" operator="containsText" text="A">
      <formula>NOT(ISERROR(SEARCH("A",V9)))</formula>
    </cfRule>
    <cfRule type="containsText" dxfId="274" priority="65" operator="containsText" text="P">
      <formula>NOT(ISERROR(SEARCH("P",V9)))</formula>
    </cfRule>
  </conditionalFormatting>
  <conditionalFormatting sqref="W9:AB28">
    <cfRule type="containsText" dxfId="273" priority="21" operator="containsText" text="L">
      <formula>NOT(ISERROR(SEARCH("L",W9)))</formula>
    </cfRule>
    <cfRule type="containsText" dxfId="272" priority="22" operator="containsText" text="A">
      <formula>NOT(ISERROR(SEARCH("A",W9)))</formula>
    </cfRule>
    <cfRule type="containsText" dxfId="271" priority="23" operator="containsText" text="P">
      <formula>NOT(ISERROR(SEARCH("P",W9)))</formula>
    </cfRule>
    <cfRule type="containsText" dxfId="270" priority="24" operator="containsText" text="WO">
      <formula>NOT(ISERROR(SEARCH("WO",W9)))</formula>
    </cfRule>
  </conditionalFormatting>
  <conditionalFormatting sqref="AC9:AC28">
    <cfRule type="containsText" dxfId="269" priority="62" operator="containsText" text="A">
      <formula>NOT(ISERROR(SEARCH("A",AC9)))</formula>
    </cfRule>
    <cfRule type="containsText" dxfId="268" priority="63" operator="containsText" text="P">
      <formula>NOT(ISERROR(SEARCH("P",AC9)))</formula>
    </cfRule>
  </conditionalFormatting>
  <conditionalFormatting sqref="AD9:AI28">
    <cfRule type="containsText" dxfId="267" priority="13" operator="containsText" text="L">
      <formula>NOT(ISERROR(SEARCH("L",AD9)))</formula>
    </cfRule>
    <cfRule type="containsText" dxfId="266" priority="14" operator="containsText" text="A">
      <formula>NOT(ISERROR(SEARCH("A",AD9)))</formula>
    </cfRule>
    <cfRule type="containsText" dxfId="265" priority="15" operator="containsText" text="P">
      <formula>NOT(ISERROR(SEARCH("P",AD9)))</formula>
    </cfRule>
    <cfRule type="containsText" dxfId="264" priority="16" operator="containsText" text="WO">
      <formula>NOT(ISERROR(SEARCH("WO",AD9)))</formula>
    </cfRule>
  </conditionalFormatting>
  <conditionalFormatting sqref="AJ9:AJ28">
    <cfRule type="containsText" dxfId="263" priority="60" operator="containsText" text="A">
      <formula>NOT(ISERROR(SEARCH("A",AJ9)))</formula>
    </cfRule>
    <cfRule type="containsText" dxfId="262" priority="61" operator="containsText" text="P">
      <formula>NOT(ISERROR(SEARCH("P",AJ9)))</formula>
    </cfRule>
  </conditionalFormatting>
  <conditionalFormatting sqref="AK9:AM28">
    <cfRule type="containsText" dxfId="261" priority="2" operator="containsText" text="A">
      <formula>NOT(ISERROR(SEARCH("A",AK9)))</formula>
    </cfRule>
    <cfRule type="containsText" dxfId="260" priority="3" operator="containsText" text="P">
      <formula>NOT(ISERROR(SEARCH("P",AK9)))</formula>
    </cfRule>
    <cfRule type="containsText" dxfId="259" priority="4" operator="containsText" text="WO">
      <formula>NOT(ISERROR(SEARCH("WO",AK9)))</formula>
    </cfRule>
    <cfRule type="containsText" dxfId="258" priority="1" operator="containsText" text="L">
      <formula>NOT(ISERROR(SEARCH("L",AK9)))</formula>
    </cfRule>
  </conditionalFormatting>
  <dataValidations count="1">
    <dataValidation type="list" allowBlank="1" showInputMessage="1" showErrorMessage="1" sqref="F7:I28 J7:AN8 J9:N28 P9:U28 W9:AB28 AD9:AI28 AK9:AM28" xr:uid="{CD354ABE-3D2A-4841-BC46-9C62AF24045C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A8F31AA-F65D-4EE7-8506-642D52ED5AB3}">
          <x14:formula1>
            <xm:f>Rough!$A$1:$A$12</xm:f>
          </x14:formula1>
          <xm:sqref>G5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B0E5EF38-0A42-42EC-971A-BBDD31D9C72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April!AU9:AX9</xm:f>
              <xm:sqref>BE9</xm:sqref>
            </x14:sparkline>
            <x14:sparkline>
              <xm:f>April!AU10:AX10</xm:f>
              <xm:sqref>BE10</xm:sqref>
            </x14:sparkline>
            <x14:sparkline>
              <xm:f>April!AU11:AX11</xm:f>
              <xm:sqref>BE11</xm:sqref>
            </x14:sparkline>
            <x14:sparkline>
              <xm:f>April!AU12:AX12</xm:f>
              <xm:sqref>BE12</xm:sqref>
            </x14:sparkline>
            <x14:sparkline>
              <xm:f>April!AU13:AX13</xm:f>
              <xm:sqref>BE13</xm:sqref>
            </x14:sparkline>
            <x14:sparkline>
              <xm:f>April!AU14:AX14</xm:f>
              <xm:sqref>BE14</xm:sqref>
            </x14:sparkline>
            <x14:sparkline>
              <xm:f>April!AU15:AX15</xm:f>
              <xm:sqref>BE15</xm:sqref>
            </x14:sparkline>
            <x14:sparkline>
              <xm:f>April!AU16:AX16</xm:f>
              <xm:sqref>BE16</xm:sqref>
            </x14:sparkline>
            <x14:sparkline>
              <xm:f>April!AU17:AX17</xm:f>
              <xm:sqref>BE17</xm:sqref>
            </x14:sparkline>
            <x14:sparkline>
              <xm:f>April!AU18:AX18</xm:f>
              <xm:sqref>BE18</xm:sqref>
            </x14:sparkline>
            <x14:sparkline>
              <xm:f>April!AU19:AX19</xm:f>
              <xm:sqref>BE19</xm:sqref>
            </x14:sparkline>
            <x14:sparkline>
              <xm:f>April!AU20:AX20</xm:f>
              <xm:sqref>BE20</xm:sqref>
            </x14:sparkline>
            <x14:sparkline>
              <xm:f>April!AU21:AX21</xm:f>
              <xm:sqref>BE21</xm:sqref>
            </x14:sparkline>
            <x14:sparkline>
              <xm:f>April!AU22:AX22</xm:f>
              <xm:sqref>BE22</xm:sqref>
            </x14:sparkline>
            <x14:sparkline>
              <xm:f>April!AU23:AX23</xm:f>
              <xm:sqref>BE23</xm:sqref>
            </x14:sparkline>
            <x14:sparkline>
              <xm:f>April!AU24:AX24</xm:f>
              <xm:sqref>BE24</xm:sqref>
            </x14:sparkline>
            <x14:sparkline>
              <xm:f>April!AU25:AX25</xm:f>
              <xm:sqref>BE25</xm:sqref>
            </x14:sparkline>
            <x14:sparkline>
              <xm:f>April!AU26:AX26</xm:f>
              <xm:sqref>BE26</xm:sqref>
            </x14:sparkline>
            <x14:sparkline>
              <xm:f>April!AU27:AX27</xm:f>
              <xm:sqref>BE27</xm:sqref>
            </x14:sparkline>
            <x14:sparkline>
              <xm:f>April!AU28:AX28</xm:f>
              <xm:sqref>BE28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E0D60-C065-43C1-976D-C369B19367C7}">
  <dimension ref="A1:BJ49"/>
  <sheetViews>
    <sheetView workbookViewId="0"/>
  </sheetViews>
  <sheetFormatPr defaultRowHeight="14.4" x14ac:dyDescent="0.3"/>
  <cols>
    <col min="6" max="6" width="6.33203125" bestFit="1" customWidth="1"/>
    <col min="7" max="7" width="14.33203125" bestFit="1" customWidth="1"/>
    <col min="8" max="8" width="18.77734375" bestFit="1" customWidth="1"/>
    <col min="9" max="9" width="10.5546875" bestFit="1" customWidth="1"/>
    <col min="10" max="10" width="5.5546875" customWidth="1"/>
    <col min="11" max="11" width="4" bestFit="1" customWidth="1"/>
    <col min="12" max="12" width="3.88671875" customWidth="1"/>
    <col min="13" max="13" width="3.5546875" bestFit="1" customWidth="1"/>
    <col min="14" max="14" width="3.88671875" bestFit="1" customWidth="1"/>
    <col min="15" max="15" width="4.77734375" bestFit="1" customWidth="1"/>
    <col min="16" max="16" width="4" bestFit="1" customWidth="1"/>
    <col min="17" max="17" width="4.77734375" bestFit="1" customWidth="1"/>
    <col min="18" max="18" width="4" bestFit="1" customWidth="1"/>
    <col min="19" max="19" width="3.44140625" customWidth="1"/>
    <col min="20" max="20" width="3.5546875" bestFit="1" customWidth="1"/>
    <col min="21" max="21" width="3.88671875" bestFit="1" customWidth="1"/>
    <col min="22" max="22" width="4.77734375" bestFit="1" customWidth="1"/>
    <col min="23" max="23" width="4" bestFit="1" customWidth="1"/>
    <col min="24" max="24" width="4.77734375" bestFit="1" customWidth="1"/>
    <col min="25" max="25" width="4" bestFit="1" customWidth="1"/>
    <col min="26" max="26" width="3.44140625" customWidth="1"/>
    <col min="27" max="27" width="3.5546875" bestFit="1" customWidth="1"/>
    <col min="28" max="28" width="3.88671875" bestFit="1" customWidth="1"/>
    <col min="29" max="29" width="4.77734375" bestFit="1" customWidth="1"/>
    <col min="30" max="30" width="4" bestFit="1" customWidth="1"/>
    <col min="31" max="31" width="4.77734375" bestFit="1" customWidth="1"/>
    <col min="32" max="32" width="4" bestFit="1" customWidth="1"/>
    <col min="33" max="33" width="4" customWidth="1"/>
    <col min="34" max="34" width="3.5546875" bestFit="1" customWidth="1"/>
    <col min="35" max="35" width="3.88671875" bestFit="1" customWidth="1"/>
    <col min="36" max="36" width="4.77734375" bestFit="1" customWidth="1"/>
    <col min="37" max="37" width="4" bestFit="1" customWidth="1"/>
    <col min="38" max="38" width="4.77734375" bestFit="1" customWidth="1"/>
    <col min="39" max="39" width="4" bestFit="1" customWidth="1"/>
    <col min="40" max="40" width="3.44140625" customWidth="1"/>
    <col min="44" max="44" width="16" customWidth="1"/>
    <col min="45" max="45" width="13.6640625" customWidth="1"/>
    <col min="46" max="46" width="20.33203125" customWidth="1"/>
    <col min="47" max="47" width="11" customWidth="1"/>
    <col min="48" max="48" width="10.33203125" customWidth="1"/>
    <col min="49" max="49" width="9.109375" customWidth="1"/>
    <col min="50" max="50" width="13" customWidth="1"/>
    <col min="51" max="51" width="8" customWidth="1"/>
    <col min="52" max="52" width="13.6640625" customWidth="1"/>
    <col min="53" max="53" width="11.5546875" bestFit="1" customWidth="1"/>
    <col min="54" max="54" width="17.77734375" customWidth="1"/>
    <col min="55" max="55" width="13.88671875" customWidth="1"/>
    <col min="56" max="56" width="15.21875" customWidth="1"/>
    <col min="57" max="57" width="12.77734375" customWidth="1"/>
  </cols>
  <sheetData>
    <row r="1" spans="1:62" x14ac:dyDescent="0.3">
      <c r="AP1" s="31"/>
      <c r="BF1" s="31"/>
      <c r="BG1" s="31"/>
      <c r="BH1" s="31"/>
      <c r="BI1" s="31"/>
      <c r="BJ1" s="31"/>
    </row>
    <row r="2" spans="1:62" x14ac:dyDescent="0.3">
      <c r="AP2" s="31"/>
      <c r="BF2" s="31"/>
      <c r="BG2" s="31"/>
      <c r="BH2" s="31"/>
      <c r="BI2" s="31"/>
      <c r="BJ2" s="31"/>
    </row>
    <row r="3" spans="1:62" x14ac:dyDescent="0.3">
      <c r="AP3" s="31"/>
      <c r="BF3" s="31"/>
      <c r="BG3" s="31"/>
      <c r="BH3" s="31"/>
      <c r="BI3" s="31"/>
      <c r="BJ3" s="31"/>
    </row>
    <row r="4" spans="1:62" x14ac:dyDescent="0.3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</row>
    <row r="5" spans="1:62" x14ac:dyDescent="0.3">
      <c r="A5" s="31"/>
      <c r="B5" s="31"/>
      <c r="C5" s="31"/>
      <c r="D5" s="31"/>
      <c r="E5" s="35" t="str">
        <f>TEXT(G5,"mmmm")</f>
        <v>May</v>
      </c>
      <c r="F5" s="35" t="s">
        <v>26</v>
      </c>
      <c r="G5" s="36">
        <v>45778</v>
      </c>
      <c r="H5" s="37">
        <f>(DATEDIF($G$5,$J$5,"D"))+1</f>
        <v>31</v>
      </c>
      <c r="I5" s="35" t="s">
        <v>27</v>
      </c>
      <c r="J5" s="36">
        <f>EOMONTH(G5,0)</f>
        <v>45808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</row>
    <row r="6" spans="1:62" ht="15" thickBot="1" x14ac:dyDescent="0.35">
      <c r="A6" s="31"/>
      <c r="B6" s="31"/>
      <c r="C6" s="31"/>
      <c r="D6" s="31"/>
      <c r="E6" s="32"/>
      <c r="F6" s="32"/>
      <c r="G6" s="32"/>
      <c r="H6" s="32"/>
      <c r="I6" s="32"/>
      <c r="J6" s="33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1"/>
      <c r="BH6" s="31"/>
      <c r="BI6" s="31"/>
      <c r="BJ6" s="31"/>
    </row>
    <row r="7" spans="1:62" ht="15" thickBot="1" x14ac:dyDescent="0.35">
      <c r="C7" s="31"/>
      <c r="D7" s="31"/>
      <c r="E7" s="32"/>
      <c r="F7" s="5"/>
      <c r="G7" s="6" t="s">
        <v>29</v>
      </c>
      <c r="H7" s="7"/>
      <c r="I7" s="5" t="s">
        <v>28</v>
      </c>
      <c r="J7" s="23" t="str">
        <f>TEXT(J8,"DDD")</f>
        <v>Thu</v>
      </c>
      <c r="K7" s="23" t="str">
        <f>TEXT(K8,"DDD")</f>
        <v>Fri</v>
      </c>
      <c r="L7" s="23" t="str">
        <f t="shared" ref="L7:AI7" si="0">TEXT(L8,"DDD")</f>
        <v>Sat</v>
      </c>
      <c r="M7" s="23" t="str">
        <f t="shared" si="0"/>
        <v>Sun</v>
      </c>
      <c r="N7" s="23" t="str">
        <f t="shared" si="0"/>
        <v>Mon</v>
      </c>
      <c r="O7" s="23" t="str">
        <f t="shared" si="0"/>
        <v>Tue</v>
      </c>
      <c r="P7" s="23" t="str">
        <f t="shared" si="0"/>
        <v>Wed</v>
      </c>
      <c r="Q7" s="23" t="str">
        <f t="shared" si="0"/>
        <v>Thu</v>
      </c>
      <c r="R7" s="23" t="str">
        <f t="shared" si="0"/>
        <v>Fri</v>
      </c>
      <c r="S7" s="23" t="str">
        <f t="shared" si="0"/>
        <v>Sat</v>
      </c>
      <c r="T7" s="23" t="str">
        <f t="shared" si="0"/>
        <v>Sun</v>
      </c>
      <c r="U7" s="23" t="str">
        <f t="shared" si="0"/>
        <v>Mon</v>
      </c>
      <c r="V7" s="23" t="str">
        <f t="shared" si="0"/>
        <v>Tue</v>
      </c>
      <c r="W7" s="23" t="str">
        <f t="shared" si="0"/>
        <v>Wed</v>
      </c>
      <c r="X7" s="23" t="str">
        <f t="shared" si="0"/>
        <v>Thu</v>
      </c>
      <c r="Y7" s="23" t="str">
        <f t="shared" si="0"/>
        <v>Fri</v>
      </c>
      <c r="Z7" s="23" t="str">
        <f t="shared" si="0"/>
        <v>Sat</v>
      </c>
      <c r="AA7" s="23" t="str">
        <f t="shared" si="0"/>
        <v>Sun</v>
      </c>
      <c r="AB7" s="23" t="str">
        <f t="shared" si="0"/>
        <v>Mon</v>
      </c>
      <c r="AC7" s="23" t="str">
        <f t="shared" si="0"/>
        <v>Tue</v>
      </c>
      <c r="AD7" s="23" t="str">
        <f t="shared" si="0"/>
        <v>Wed</v>
      </c>
      <c r="AE7" s="23" t="str">
        <f t="shared" si="0"/>
        <v>Thu</v>
      </c>
      <c r="AF7" s="23" t="str">
        <f t="shared" si="0"/>
        <v>Fri</v>
      </c>
      <c r="AG7" s="23" t="str">
        <f t="shared" si="0"/>
        <v>Sat</v>
      </c>
      <c r="AH7" s="23" t="str">
        <f t="shared" si="0"/>
        <v>Sun</v>
      </c>
      <c r="AI7" s="23" t="str">
        <f t="shared" si="0"/>
        <v>Mon</v>
      </c>
      <c r="AJ7" s="23" t="str">
        <f>TEXT(AJ8,"DDD")</f>
        <v>Tue</v>
      </c>
      <c r="AK7" s="23" t="str">
        <f>TEXT(AK8,"DDD")</f>
        <v>Wed</v>
      </c>
      <c r="AL7" s="23" t="str">
        <f t="shared" ref="AL7:AN7" si="1">TEXT(AL8,"DDD")</f>
        <v>Thu</v>
      </c>
      <c r="AM7" s="23" t="str">
        <f t="shared" si="1"/>
        <v>Fri</v>
      </c>
      <c r="AN7" s="24" t="str">
        <f t="shared" si="1"/>
        <v>Sat</v>
      </c>
      <c r="AO7" s="32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1"/>
      <c r="BH7" s="31"/>
      <c r="BI7" s="31"/>
      <c r="BJ7" s="31"/>
    </row>
    <row r="8" spans="1:62" ht="18.600000000000001" thickBot="1" x14ac:dyDescent="0.4">
      <c r="C8" s="31"/>
      <c r="D8" s="31"/>
      <c r="E8" s="32"/>
      <c r="F8" s="12" t="s">
        <v>23</v>
      </c>
      <c r="G8" s="13" t="s">
        <v>2</v>
      </c>
      <c r="H8" s="14" t="s">
        <v>24</v>
      </c>
      <c r="I8" s="25" t="s">
        <v>25</v>
      </c>
      <c r="J8" s="26">
        <f>G5</f>
        <v>45778</v>
      </c>
      <c r="K8" s="26">
        <f>IF(J8&lt;$J$5,J8+1,"")</f>
        <v>45779</v>
      </c>
      <c r="L8" s="26">
        <f t="shared" ref="L8:AN8" si="2">IF(K8&lt;$J$5,K8+1,"")</f>
        <v>45780</v>
      </c>
      <c r="M8" s="26">
        <f t="shared" si="2"/>
        <v>45781</v>
      </c>
      <c r="N8" s="26">
        <f t="shared" si="2"/>
        <v>45782</v>
      </c>
      <c r="O8" s="26">
        <f t="shared" si="2"/>
        <v>45783</v>
      </c>
      <c r="P8" s="26">
        <f t="shared" si="2"/>
        <v>45784</v>
      </c>
      <c r="Q8" s="26">
        <f t="shared" si="2"/>
        <v>45785</v>
      </c>
      <c r="R8" s="26">
        <f t="shared" si="2"/>
        <v>45786</v>
      </c>
      <c r="S8" s="26">
        <f t="shared" si="2"/>
        <v>45787</v>
      </c>
      <c r="T8" s="26">
        <f t="shared" si="2"/>
        <v>45788</v>
      </c>
      <c r="U8" s="26">
        <f t="shared" si="2"/>
        <v>45789</v>
      </c>
      <c r="V8" s="26">
        <f t="shared" si="2"/>
        <v>45790</v>
      </c>
      <c r="W8" s="26">
        <f t="shared" si="2"/>
        <v>45791</v>
      </c>
      <c r="X8" s="26">
        <f t="shared" si="2"/>
        <v>45792</v>
      </c>
      <c r="Y8" s="26">
        <f t="shared" si="2"/>
        <v>45793</v>
      </c>
      <c r="Z8" s="26">
        <f t="shared" si="2"/>
        <v>45794</v>
      </c>
      <c r="AA8" s="26">
        <f t="shared" si="2"/>
        <v>45795</v>
      </c>
      <c r="AB8" s="26">
        <f t="shared" si="2"/>
        <v>45796</v>
      </c>
      <c r="AC8" s="26">
        <f t="shared" si="2"/>
        <v>45797</v>
      </c>
      <c r="AD8" s="26">
        <f t="shared" si="2"/>
        <v>45798</v>
      </c>
      <c r="AE8" s="26">
        <f t="shared" si="2"/>
        <v>45799</v>
      </c>
      <c r="AF8" s="26">
        <f t="shared" si="2"/>
        <v>45800</v>
      </c>
      <c r="AG8" s="26">
        <f t="shared" si="2"/>
        <v>45801</v>
      </c>
      <c r="AH8" s="26">
        <f t="shared" si="2"/>
        <v>45802</v>
      </c>
      <c r="AI8" s="26">
        <f t="shared" si="2"/>
        <v>45803</v>
      </c>
      <c r="AJ8" s="26">
        <f t="shared" si="2"/>
        <v>45804</v>
      </c>
      <c r="AK8" s="26">
        <f t="shared" si="2"/>
        <v>45805</v>
      </c>
      <c r="AL8" s="26">
        <f t="shared" si="2"/>
        <v>45806</v>
      </c>
      <c r="AM8" s="26">
        <f t="shared" si="2"/>
        <v>45807</v>
      </c>
      <c r="AN8" s="27">
        <f t="shared" si="2"/>
        <v>45808</v>
      </c>
      <c r="AO8" s="32"/>
      <c r="AP8" s="34"/>
      <c r="AQ8" s="38" t="s">
        <v>23</v>
      </c>
      <c r="AR8" s="38" t="s">
        <v>2</v>
      </c>
      <c r="AS8" s="38" t="s">
        <v>42</v>
      </c>
      <c r="AT8" s="39" t="s">
        <v>24</v>
      </c>
      <c r="AU8" s="40" t="s">
        <v>30</v>
      </c>
      <c r="AV8" s="38" t="s">
        <v>31</v>
      </c>
      <c r="AW8" s="38" t="s">
        <v>32</v>
      </c>
      <c r="AX8" s="38" t="s">
        <v>25</v>
      </c>
      <c r="AY8" s="38" t="s">
        <v>28</v>
      </c>
      <c r="AZ8" s="38" t="s">
        <v>33</v>
      </c>
      <c r="BA8" s="38" t="s">
        <v>34</v>
      </c>
      <c r="BB8" s="38" t="s">
        <v>35</v>
      </c>
      <c r="BC8" s="40" t="s">
        <v>36</v>
      </c>
      <c r="BD8" s="38" t="s">
        <v>37</v>
      </c>
      <c r="BE8" s="38" t="s">
        <v>41</v>
      </c>
      <c r="BF8" s="34"/>
      <c r="BG8" s="31"/>
      <c r="BH8" s="31"/>
      <c r="BI8" s="31"/>
      <c r="BJ8" s="31"/>
    </row>
    <row r="9" spans="1:62" x14ac:dyDescent="0.3">
      <c r="C9" s="31"/>
      <c r="D9" s="31"/>
      <c r="E9" s="32"/>
      <c r="F9" s="8">
        <v>1</v>
      </c>
      <c r="G9" s="9">
        <v>1001</v>
      </c>
      <c r="H9" s="15" t="s">
        <v>3</v>
      </c>
      <c r="I9" s="17">
        <f>COUNTIF($J$7:$AN$7,"Sun")</f>
        <v>4</v>
      </c>
      <c r="J9" s="18" t="s">
        <v>38</v>
      </c>
      <c r="K9" s="18" t="s">
        <v>38</v>
      </c>
      <c r="L9" s="18" t="s">
        <v>38</v>
      </c>
      <c r="M9" s="18" t="str">
        <f t="shared" ref="M9:AH17" si="3">IF(M$7="Sun","WO","")</f>
        <v>WO</v>
      </c>
      <c r="N9" s="18" t="s">
        <v>38</v>
      </c>
      <c r="O9" s="18" t="s">
        <v>38</v>
      </c>
      <c r="P9" s="18" t="s">
        <v>38</v>
      </c>
      <c r="Q9" s="18" t="s">
        <v>38</v>
      </c>
      <c r="R9" s="18" t="s">
        <v>38</v>
      </c>
      <c r="S9" s="18" t="s">
        <v>38</v>
      </c>
      <c r="T9" s="18" t="str">
        <f t="shared" si="3"/>
        <v>WO</v>
      </c>
      <c r="U9" s="18" t="s">
        <v>38</v>
      </c>
      <c r="V9" s="18" t="s">
        <v>38</v>
      </c>
      <c r="W9" s="18" t="s">
        <v>38</v>
      </c>
      <c r="X9" s="18" t="s">
        <v>38</v>
      </c>
      <c r="Y9" s="18" t="s">
        <v>38</v>
      </c>
      <c r="Z9" s="18" t="s">
        <v>38</v>
      </c>
      <c r="AA9" s="18" t="str">
        <f t="shared" si="3"/>
        <v>WO</v>
      </c>
      <c r="AB9" s="18" t="s">
        <v>38</v>
      </c>
      <c r="AC9" s="18" t="s">
        <v>38</v>
      </c>
      <c r="AD9" s="18" t="s">
        <v>38</v>
      </c>
      <c r="AE9" s="18" t="s">
        <v>38</v>
      </c>
      <c r="AF9" s="18" t="s">
        <v>38</v>
      </c>
      <c r="AG9" s="18" t="s">
        <v>38</v>
      </c>
      <c r="AH9" s="18" t="str">
        <f t="shared" si="3"/>
        <v>WO</v>
      </c>
      <c r="AI9" s="18" t="s">
        <v>38</v>
      </c>
      <c r="AJ9" s="18" t="s">
        <v>38</v>
      </c>
      <c r="AK9" s="18" t="s">
        <v>38</v>
      </c>
      <c r="AL9" s="18" t="s">
        <v>38</v>
      </c>
      <c r="AM9" s="18" t="s">
        <v>38</v>
      </c>
      <c r="AN9" s="19" t="s">
        <v>38</v>
      </c>
      <c r="AO9" s="32"/>
      <c r="AP9" s="34"/>
      <c r="AQ9" s="9">
        <v>1</v>
      </c>
      <c r="AR9" s="9">
        <v>1001</v>
      </c>
      <c r="AS9" s="9" t="str">
        <f>$E$5</f>
        <v>May</v>
      </c>
      <c r="AT9" s="15" t="s">
        <v>3</v>
      </c>
      <c r="AU9" s="28">
        <f t="shared" ref="AU9:AU28" si="4">COUNTIF($J9:$AN9,"P")</f>
        <v>27</v>
      </c>
      <c r="AV9">
        <f t="shared" ref="AV9:AV28" si="5">COUNTIF($J9:$AN9,"A")</f>
        <v>0</v>
      </c>
      <c r="AW9">
        <f t="shared" ref="AW9:AW28" si="6">COUNTIF($J9:$AN9,"L")</f>
        <v>0</v>
      </c>
      <c r="AX9">
        <f>$I$9</f>
        <v>4</v>
      </c>
      <c r="AY9" s="29">
        <f>$H$5</f>
        <v>31</v>
      </c>
      <c r="AZ9" s="29">
        <f>AY9-AV9</f>
        <v>31</v>
      </c>
      <c r="BA9" s="30">
        <f ca="1">RANDBETWEEN(10000,50000)</f>
        <v>35721</v>
      </c>
      <c r="BB9" s="30">
        <f ca="1">BA9/AZ9</f>
        <v>1152.2903225806451</v>
      </c>
      <c r="BC9" s="30">
        <f ca="1">BB9*AV9</f>
        <v>0</v>
      </c>
      <c r="BD9" s="30">
        <f ca="1">BA9-BC9</f>
        <v>35721</v>
      </c>
      <c r="BF9" s="34"/>
      <c r="BG9" s="31"/>
      <c r="BH9" s="31"/>
      <c r="BI9" s="31"/>
      <c r="BJ9" s="31"/>
    </row>
    <row r="10" spans="1:62" x14ac:dyDescent="0.3">
      <c r="C10" s="31"/>
      <c r="D10" s="31"/>
      <c r="E10" s="32"/>
      <c r="F10" s="8">
        <v>2</v>
      </c>
      <c r="G10" s="9">
        <v>1002</v>
      </c>
      <c r="H10" s="15" t="s">
        <v>4</v>
      </c>
      <c r="I10" s="17">
        <f t="shared" ref="I10:I28" si="7">COUNTIF($J$7:$AN$7,"Sun")</f>
        <v>4</v>
      </c>
      <c r="J10" s="18" t="s">
        <v>39</v>
      </c>
      <c r="K10" s="18" t="s">
        <v>39</v>
      </c>
      <c r="L10" s="18" t="s">
        <v>39</v>
      </c>
      <c r="M10" s="18" t="str">
        <f t="shared" si="3"/>
        <v>WO</v>
      </c>
      <c r="N10" s="18" t="s">
        <v>38</v>
      </c>
      <c r="O10" s="18" t="s">
        <v>38</v>
      </c>
      <c r="P10" s="18" t="s">
        <v>39</v>
      </c>
      <c r="Q10" s="18" t="s">
        <v>38</v>
      </c>
      <c r="R10" s="18" t="s">
        <v>39</v>
      </c>
      <c r="S10" s="18" t="s">
        <v>39</v>
      </c>
      <c r="T10" s="18" t="str">
        <f t="shared" si="3"/>
        <v>WO</v>
      </c>
      <c r="U10" s="18" t="s">
        <v>38</v>
      </c>
      <c r="V10" s="18" t="s">
        <v>38</v>
      </c>
      <c r="W10" s="18" t="s">
        <v>39</v>
      </c>
      <c r="X10" s="18" t="s">
        <v>38</v>
      </c>
      <c r="Y10" s="18" t="s">
        <v>39</v>
      </c>
      <c r="Z10" s="18" t="s">
        <v>39</v>
      </c>
      <c r="AA10" s="18" t="str">
        <f t="shared" si="3"/>
        <v>WO</v>
      </c>
      <c r="AB10" s="18" t="s">
        <v>38</v>
      </c>
      <c r="AC10" s="18" t="s">
        <v>38</v>
      </c>
      <c r="AD10" s="18" t="s">
        <v>39</v>
      </c>
      <c r="AE10" s="18" t="s">
        <v>38</v>
      </c>
      <c r="AF10" s="18" t="s">
        <v>39</v>
      </c>
      <c r="AG10" s="18" t="s">
        <v>39</v>
      </c>
      <c r="AH10" s="18" t="str">
        <f t="shared" si="3"/>
        <v>WO</v>
      </c>
      <c r="AI10" s="18" t="s">
        <v>38</v>
      </c>
      <c r="AJ10" s="18" t="s">
        <v>38</v>
      </c>
      <c r="AK10" s="18" t="s">
        <v>40</v>
      </c>
      <c r="AL10" s="18" t="s">
        <v>38</v>
      </c>
      <c r="AM10" s="18" t="s">
        <v>38</v>
      </c>
      <c r="AN10" s="19" t="s">
        <v>39</v>
      </c>
      <c r="AO10" s="32"/>
      <c r="AP10" s="34"/>
      <c r="AQ10" s="9">
        <v>2</v>
      </c>
      <c r="AR10" s="9">
        <v>1002</v>
      </c>
      <c r="AS10" s="9" t="str">
        <f t="shared" ref="AS10:AS28" si="8">$E$5</f>
        <v>May</v>
      </c>
      <c r="AT10" s="15" t="s">
        <v>4</v>
      </c>
      <c r="AU10" s="28">
        <f t="shared" si="4"/>
        <v>13</v>
      </c>
      <c r="AV10">
        <f t="shared" si="5"/>
        <v>13</v>
      </c>
      <c r="AW10">
        <f t="shared" si="6"/>
        <v>1</v>
      </c>
      <c r="AX10">
        <f t="shared" ref="AX10:AX28" si="9">$I$9</f>
        <v>4</v>
      </c>
      <c r="AY10" s="29">
        <f t="shared" ref="AY10:AY28" si="10">$H$5</f>
        <v>31</v>
      </c>
      <c r="AZ10" s="29">
        <f t="shared" ref="AZ10:AZ28" si="11">AY10-AV10</f>
        <v>18</v>
      </c>
      <c r="BA10" s="30">
        <f t="shared" ref="BA10:BA28" ca="1" si="12">RANDBETWEEN(10000,50000)</f>
        <v>35728</v>
      </c>
      <c r="BB10" s="30">
        <f t="shared" ref="BB10:BB28" ca="1" si="13">BA10/AZ10</f>
        <v>1984.8888888888889</v>
      </c>
      <c r="BC10" s="30">
        <f t="shared" ref="BC10:BC28" ca="1" si="14">BB10*AV10</f>
        <v>25803.555555555555</v>
      </c>
      <c r="BD10" s="30">
        <f t="shared" ref="BD10:BD28" ca="1" si="15">BA10-BC10</f>
        <v>9924.4444444444453</v>
      </c>
      <c r="BF10" s="34"/>
      <c r="BG10" s="31"/>
      <c r="BH10" s="31"/>
      <c r="BI10" s="31"/>
      <c r="BJ10" s="31"/>
    </row>
    <row r="11" spans="1:62" x14ac:dyDescent="0.3">
      <c r="C11" s="31"/>
      <c r="D11" s="31"/>
      <c r="E11" s="32"/>
      <c r="F11" s="8">
        <v>3</v>
      </c>
      <c r="G11" s="9">
        <v>1003</v>
      </c>
      <c r="H11" s="15" t="s">
        <v>5</v>
      </c>
      <c r="I11" s="17">
        <f t="shared" si="7"/>
        <v>4</v>
      </c>
      <c r="J11" s="18" t="s">
        <v>38</v>
      </c>
      <c r="K11" s="18" t="s">
        <v>38</v>
      </c>
      <c r="L11" s="18" t="s">
        <v>38</v>
      </c>
      <c r="M11" s="18" t="str">
        <f t="shared" si="3"/>
        <v>WO</v>
      </c>
      <c r="N11" s="18" t="s">
        <v>38</v>
      </c>
      <c r="O11" s="18" t="s">
        <v>39</v>
      </c>
      <c r="P11" s="18" t="s">
        <v>38</v>
      </c>
      <c r="Q11" s="18" t="s">
        <v>38</v>
      </c>
      <c r="R11" s="18" t="s">
        <v>38</v>
      </c>
      <c r="S11" s="18" t="s">
        <v>38</v>
      </c>
      <c r="T11" s="18" t="str">
        <f t="shared" si="3"/>
        <v>WO</v>
      </c>
      <c r="U11" s="18" t="s">
        <v>38</v>
      </c>
      <c r="V11" s="18" t="s">
        <v>39</v>
      </c>
      <c r="W11" s="18" t="s">
        <v>38</v>
      </c>
      <c r="X11" s="18" t="s">
        <v>38</v>
      </c>
      <c r="Y11" s="18" t="s">
        <v>38</v>
      </c>
      <c r="Z11" s="18" t="s">
        <v>38</v>
      </c>
      <c r="AA11" s="18" t="str">
        <f t="shared" si="3"/>
        <v>WO</v>
      </c>
      <c r="AB11" s="18" t="s">
        <v>38</v>
      </c>
      <c r="AC11" s="18" t="s">
        <v>39</v>
      </c>
      <c r="AD11" s="18" t="s">
        <v>38</v>
      </c>
      <c r="AE11" s="18" t="s">
        <v>38</v>
      </c>
      <c r="AF11" s="18" t="s">
        <v>38</v>
      </c>
      <c r="AG11" s="18" t="s">
        <v>38</v>
      </c>
      <c r="AH11" s="18" t="str">
        <f t="shared" si="3"/>
        <v>WO</v>
      </c>
      <c r="AI11" s="18" t="s">
        <v>38</v>
      </c>
      <c r="AJ11" s="18" t="s">
        <v>39</v>
      </c>
      <c r="AK11" s="18" t="s">
        <v>38</v>
      </c>
      <c r="AL11" s="18" t="s">
        <v>38</v>
      </c>
      <c r="AM11" s="18" t="s">
        <v>38</v>
      </c>
      <c r="AN11" s="19" t="s">
        <v>38</v>
      </c>
      <c r="AO11" s="32"/>
      <c r="AP11" s="34"/>
      <c r="AQ11" s="9">
        <v>3</v>
      </c>
      <c r="AR11" s="9">
        <v>1003</v>
      </c>
      <c r="AS11" s="9" t="str">
        <f t="shared" si="8"/>
        <v>May</v>
      </c>
      <c r="AT11" s="15" t="s">
        <v>5</v>
      </c>
      <c r="AU11" s="28">
        <f t="shared" si="4"/>
        <v>23</v>
      </c>
      <c r="AV11">
        <f t="shared" si="5"/>
        <v>4</v>
      </c>
      <c r="AW11">
        <f t="shared" si="6"/>
        <v>0</v>
      </c>
      <c r="AX11">
        <f t="shared" si="9"/>
        <v>4</v>
      </c>
      <c r="AY11" s="29">
        <f t="shared" si="10"/>
        <v>31</v>
      </c>
      <c r="AZ11" s="29">
        <f t="shared" si="11"/>
        <v>27</v>
      </c>
      <c r="BA11" s="30">
        <f t="shared" ca="1" si="12"/>
        <v>23577</v>
      </c>
      <c r="BB11" s="30">
        <f t="shared" ca="1" si="13"/>
        <v>873.22222222222217</v>
      </c>
      <c r="BC11" s="30">
        <f t="shared" ca="1" si="14"/>
        <v>3492.8888888888887</v>
      </c>
      <c r="BD11" s="30">
        <f t="shared" ca="1" si="15"/>
        <v>20084.111111111109</v>
      </c>
      <c r="BF11" s="34"/>
      <c r="BG11" s="31"/>
      <c r="BH11" s="31"/>
      <c r="BI11" s="31"/>
      <c r="BJ11" s="31"/>
    </row>
    <row r="12" spans="1:62" x14ac:dyDescent="0.3">
      <c r="C12" s="31"/>
      <c r="D12" s="31"/>
      <c r="E12" s="32"/>
      <c r="F12" s="8">
        <v>4</v>
      </c>
      <c r="G12" s="9">
        <v>1004</v>
      </c>
      <c r="H12" s="15" t="s">
        <v>6</v>
      </c>
      <c r="I12" s="17">
        <f t="shared" si="7"/>
        <v>4</v>
      </c>
      <c r="J12" s="18" t="s">
        <v>38</v>
      </c>
      <c r="K12" s="18" t="s">
        <v>38</v>
      </c>
      <c r="L12" s="18" t="s">
        <v>38</v>
      </c>
      <c r="M12" s="18" t="str">
        <f t="shared" si="3"/>
        <v>WO</v>
      </c>
      <c r="N12" s="18" t="s">
        <v>38</v>
      </c>
      <c r="O12" s="18" t="s">
        <v>39</v>
      </c>
      <c r="P12" s="18" t="s">
        <v>38</v>
      </c>
      <c r="Q12" s="18" t="s">
        <v>38</v>
      </c>
      <c r="R12" s="18" t="s">
        <v>38</v>
      </c>
      <c r="S12" s="18" t="s">
        <v>38</v>
      </c>
      <c r="T12" s="18" t="str">
        <f t="shared" si="3"/>
        <v>WO</v>
      </c>
      <c r="U12" s="18" t="s">
        <v>38</v>
      </c>
      <c r="V12" s="18" t="s">
        <v>39</v>
      </c>
      <c r="W12" s="18" t="s">
        <v>38</v>
      </c>
      <c r="X12" s="18" t="s">
        <v>38</v>
      </c>
      <c r="Y12" s="18" t="s">
        <v>38</v>
      </c>
      <c r="Z12" s="18" t="s">
        <v>38</v>
      </c>
      <c r="AA12" s="18" t="str">
        <f t="shared" si="3"/>
        <v>WO</v>
      </c>
      <c r="AB12" s="18" t="s">
        <v>38</v>
      </c>
      <c r="AC12" s="18" t="s">
        <v>39</v>
      </c>
      <c r="AD12" s="18" t="s">
        <v>38</v>
      </c>
      <c r="AE12" s="18" t="s">
        <v>38</v>
      </c>
      <c r="AF12" s="18" t="s">
        <v>38</v>
      </c>
      <c r="AG12" s="18" t="s">
        <v>38</v>
      </c>
      <c r="AH12" s="18" t="str">
        <f t="shared" si="3"/>
        <v>WO</v>
      </c>
      <c r="AI12" s="18" t="s">
        <v>38</v>
      </c>
      <c r="AJ12" s="18" t="s">
        <v>39</v>
      </c>
      <c r="AK12" s="18" t="s">
        <v>38</v>
      </c>
      <c r="AL12" s="18" t="s">
        <v>38</v>
      </c>
      <c r="AM12" s="18" t="s">
        <v>38</v>
      </c>
      <c r="AN12" s="19" t="s">
        <v>38</v>
      </c>
      <c r="AO12" s="32"/>
      <c r="AP12" s="34"/>
      <c r="AQ12" s="9">
        <v>4</v>
      </c>
      <c r="AR12" s="9">
        <v>1004</v>
      </c>
      <c r="AS12" s="9" t="str">
        <f t="shared" si="8"/>
        <v>May</v>
      </c>
      <c r="AT12" s="15" t="s">
        <v>6</v>
      </c>
      <c r="AU12" s="28">
        <f t="shared" si="4"/>
        <v>23</v>
      </c>
      <c r="AV12">
        <f t="shared" si="5"/>
        <v>4</v>
      </c>
      <c r="AW12">
        <f t="shared" si="6"/>
        <v>0</v>
      </c>
      <c r="AX12">
        <f t="shared" si="9"/>
        <v>4</v>
      </c>
      <c r="AY12" s="29">
        <f t="shared" si="10"/>
        <v>31</v>
      </c>
      <c r="AZ12" s="29">
        <f t="shared" si="11"/>
        <v>27</v>
      </c>
      <c r="BA12" s="30">
        <f t="shared" ca="1" si="12"/>
        <v>19790</v>
      </c>
      <c r="BB12" s="30">
        <f t="shared" ca="1" si="13"/>
        <v>732.96296296296293</v>
      </c>
      <c r="BC12" s="30">
        <f t="shared" ca="1" si="14"/>
        <v>2931.8518518518517</v>
      </c>
      <c r="BD12" s="30">
        <f t="shared" ca="1" si="15"/>
        <v>16858.14814814815</v>
      </c>
      <c r="BF12" s="34"/>
      <c r="BG12" s="31"/>
      <c r="BH12" s="31"/>
      <c r="BI12" s="31"/>
      <c r="BJ12" s="31"/>
    </row>
    <row r="13" spans="1:62" x14ac:dyDescent="0.3">
      <c r="C13" s="31"/>
      <c r="D13" s="31"/>
      <c r="E13" s="32"/>
      <c r="F13" s="8">
        <v>5</v>
      </c>
      <c r="G13" s="9">
        <v>1005</v>
      </c>
      <c r="H13" s="15" t="s">
        <v>7</v>
      </c>
      <c r="I13" s="17">
        <f t="shared" si="7"/>
        <v>4</v>
      </c>
      <c r="J13" s="18" t="s">
        <v>38</v>
      </c>
      <c r="K13" s="18" t="s">
        <v>39</v>
      </c>
      <c r="L13" s="18" t="s">
        <v>38</v>
      </c>
      <c r="M13" s="18" t="str">
        <f t="shared" si="3"/>
        <v>WO</v>
      </c>
      <c r="N13" s="18" t="s">
        <v>38</v>
      </c>
      <c r="O13" s="18" t="s">
        <v>38</v>
      </c>
      <c r="P13" s="18" t="s">
        <v>39</v>
      </c>
      <c r="Q13" s="18" t="s">
        <v>38</v>
      </c>
      <c r="R13" s="18" t="s">
        <v>39</v>
      </c>
      <c r="S13" s="18" t="s">
        <v>38</v>
      </c>
      <c r="T13" s="18" t="str">
        <f t="shared" si="3"/>
        <v>WO</v>
      </c>
      <c r="U13" s="18" t="s">
        <v>38</v>
      </c>
      <c r="V13" s="18" t="s">
        <v>38</v>
      </c>
      <c r="W13" s="18" t="s">
        <v>39</v>
      </c>
      <c r="X13" s="18" t="s">
        <v>38</v>
      </c>
      <c r="Y13" s="18" t="s">
        <v>38</v>
      </c>
      <c r="Z13" s="18" t="s">
        <v>38</v>
      </c>
      <c r="AA13" s="18" t="str">
        <f t="shared" si="3"/>
        <v>WO</v>
      </c>
      <c r="AB13" s="18" t="s">
        <v>38</v>
      </c>
      <c r="AC13" s="18" t="s">
        <v>38</v>
      </c>
      <c r="AD13" s="18" t="s">
        <v>39</v>
      </c>
      <c r="AE13" s="18" t="s">
        <v>38</v>
      </c>
      <c r="AF13" s="18" t="s">
        <v>39</v>
      </c>
      <c r="AG13" s="18" t="s">
        <v>38</v>
      </c>
      <c r="AH13" s="18" t="str">
        <f t="shared" si="3"/>
        <v>WO</v>
      </c>
      <c r="AI13" s="18" t="s">
        <v>38</v>
      </c>
      <c r="AJ13" s="18" t="s">
        <v>38</v>
      </c>
      <c r="AK13" s="18" t="s">
        <v>38</v>
      </c>
      <c r="AL13" s="18" t="s">
        <v>38</v>
      </c>
      <c r="AM13" s="18" t="s">
        <v>38</v>
      </c>
      <c r="AN13" s="19" t="s">
        <v>38</v>
      </c>
      <c r="AO13" s="32"/>
      <c r="AP13" s="34"/>
      <c r="AQ13" s="9">
        <v>5</v>
      </c>
      <c r="AR13" s="9">
        <v>1005</v>
      </c>
      <c r="AS13" s="9" t="str">
        <f t="shared" si="8"/>
        <v>May</v>
      </c>
      <c r="AT13" s="15" t="s">
        <v>7</v>
      </c>
      <c r="AU13" s="28">
        <f t="shared" si="4"/>
        <v>21</v>
      </c>
      <c r="AV13">
        <f t="shared" si="5"/>
        <v>6</v>
      </c>
      <c r="AW13">
        <f t="shared" si="6"/>
        <v>0</v>
      </c>
      <c r="AX13">
        <f t="shared" si="9"/>
        <v>4</v>
      </c>
      <c r="AY13" s="29">
        <f t="shared" si="10"/>
        <v>31</v>
      </c>
      <c r="AZ13" s="29">
        <f t="shared" si="11"/>
        <v>25</v>
      </c>
      <c r="BA13" s="30">
        <f t="shared" ca="1" si="12"/>
        <v>25232</v>
      </c>
      <c r="BB13" s="30">
        <f t="shared" ca="1" si="13"/>
        <v>1009.28</v>
      </c>
      <c r="BC13" s="30">
        <f t="shared" ca="1" si="14"/>
        <v>6055.68</v>
      </c>
      <c r="BD13" s="30">
        <f t="shared" ca="1" si="15"/>
        <v>19176.32</v>
      </c>
      <c r="BF13" s="34"/>
      <c r="BG13" s="31"/>
      <c r="BH13" s="31"/>
      <c r="BI13" s="31"/>
      <c r="BJ13" s="31"/>
    </row>
    <row r="14" spans="1:62" x14ac:dyDescent="0.3">
      <c r="C14" s="31"/>
      <c r="D14" s="31"/>
      <c r="E14" s="32"/>
      <c r="F14" s="8">
        <v>6</v>
      </c>
      <c r="G14" s="9">
        <v>1006</v>
      </c>
      <c r="H14" s="15" t="s">
        <v>8</v>
      </c>
      <c r="I14" s="17">
        <f t="shared" si="7"/>
        <v>4</v>
      </c>
      <c r="J14" s="18" t="s">
        <v>39</v>
      </c>
      <c r="K14" s="18" t="s">
        <v>38</v>
      </c>
      <c r="L14" s="18" t="s">
        <v>38</v>
      </c>
      <c r="M14" s="18" t="str">
        <f t="shared" si="3"/>
        <v>WO</v>
      </c>
      <c r="N14" s="18" t="s">
        <v>38</v>
      </c>
      <c r="O14" s="18" t="s">
        <v>38</v>
      </c>
      <c r="P14" s="18" t="s">
        <v>38</v>
      </c>
      <c r="Q14" s="18" t="s">
        <v>38</v>
      </c>
      <c r="R14" s="18" t="s">
        <v>39</v>
      </c>
      <c r="S14" s="18" t="s">
        <v>39</v>
      </c>
      <c r="T14" s="18" t="str">
        <f t="shared" si="3"/>
        <v>WO</v>
      </c>
      <c r="U14" s="18" t="s">
        <v>38</v>
      </c>
      <c r="V14" s="18" t="s">
        <v>38</v>
      </c>
      <c r="W14" s="18" t="s">
        <v>39</v>
      </c>
      <c r="X14" s="18" t="s">
        <v>38</v>
      </c>
      <c r="Y14" s="18" t="s">
        <v>38</v>
      </c>
      <c r="Z14" s="18" t="s">
        <v>39</v>
      </c>
      <c r="AA14" s="18" t="str">
        <f t="shared" si="3"/>
        <v>WO</v>
      </c>
      <c r="AB14" s="18" t="s">
        <v>38</v>
      </c>
      <c r="AC14" s="18" t="s">
        <v>38</v>
      </c>
      <c r="AD14" s="18" t="s">
        <v>39</v>
      </c>
      <c r="AE14" s="18" t="s">
        <v>38</v>
      </c>
      <c r="AF14" s="18" t="s">
        <v>38</v>
      </c>
      <c r="AG14" s="18" t="s">
        <v>39</v>
      </c>
      <c r="AH14" s="18" t="str">
        <f t="shared" si="3"/>
        <v>WO</v>
      </c>
      <c r="AI14" s="18" t="s">
        <v>38</v>
      </c>
      <c r="AJ14" s="18" t="s">
        <v>38</v>
      </c>
      <c r="AK14" s="18" t="s">
        <v>39</v>
      </c>
      <c r="AL14" s="18" t="s">
        <v>38</v>
      </c>
      <c r="AM14" s="18" t="s">
        <v>38</v>
      </c>
      <c r="AN14" s="19" t="s">
        <v>38</v>
      </c>
      <c r="AO14" s="32"/>
      <c r="AP14" s="34"/>
      <c r="AQ14" s="9">
        <v>6</v>
      </c>
      <c r="AR14" s="9">
        <v>1006</v>
      </c>
      <c r="AS14" s="9" t="str">
        <f t="shared" si="8"/>
        <v>May</v>
      </c>
      <c r="AT14" s="15" t="s">
        <v>8</v>
      </c>
      <c r="AU14" s="28">
        <f t="shared" si="4"/>
        <v>19</v>
      </c>
      <c r="AV14">
        <f t="shared" si="5"/>
        <v>8</v>
      </c>
      <c r="AW14">
        <f t="shared" si="6"/>
        <v>0</v>
      </c>
      <c r="AX14">
        <f t="shared" si="9"/>
        <v>4</v>
      </c>
      <c r="AY14" s="29">
        <f t="shared" si="10"/>
        <v>31</v>
      </c>
      <c r="AZ14" s="29">
        <f t="shared" si="11"/>
        <v>23</v>
      </c>
      <c r="BA14" s="30">
        <f t="shared" ca="1" si="12"/>
        <v>29904</v>
      </c>
      <c r="BB14" s="30">
        <f t="shared" ca="1" si="13"/>
        <v>1300.1739130434783</v>
      </c>
      <c r="BC14" s="30">
        <f t="shared" ca="1" si="14"/>
        <v>10401.391304347826</v>
      </c>
      <c r="BD14" s="30">
        <f t="shared" ca="1" si="15"/>
        <v>19502.608695652176</v>
      </c>
      <c r="BF14" s="34"/>
      <c r="BG14" s="31"/>
      <c r="BH14" s="31"/>
      <c r="BI14" s="31"/>
      <c r="BJ14" s="31"/>
    </row>
    <row r="15" spans="1:62" x14ac:dyDescent="0.3">
      <c r="C15" s="31"/>
      <c r="D15" s="31"/>
      <c r="E15" s="32"/>
      <c r="F15" s="8">
        <v>7</v>
      </c>
      <c r="G15" s="9">
        <v>1007</v>
      </c>
      <c r="H15" s="15" t="s">
        <v>9</v>
      </c>
      <c r="I15" s="17">
        <f t="shared" si="7"/>
        <v>4</v>
      </c>
      <c r="J15" s="18" t="s">
        <v>38</v>
      </c>
      <c r="K15" s="18" t="s">
        <v>38</v>
      </c>
      <c r="L15" s="18" t="s">
        <v>38</v>
      </c>
      <c r="M15" s="18" t="str">
        <f t="shared" si="3"/>
        <v>WO</v>
      </c>
      <c r="N15" s="18" t="s">
        <v>38</v>
      </c>
      <c r="O15" s="18" t="s">
        <v>38</v>
      </c>
      <c r="P15" s="18" t="s">
        <v>38</v>
      </c>
      <c r="Q15" s="18" t="s">
        <v>38</v>
      </c>
      <c r="R15" s="18" t="s">
        <v>38</v>
      </c>
      <c r="S15" s="18" t="s">
        <v>38</v>
      </c>
      <c r="T15" s="18" t="str">
        <f t="shared" si="3"/>
        <v>WO</v>
      </c>
      <c r="U15" s="18" t="s">
        <v>38</v>
      </c>
      <c r="V15" s="18" t="s">
        <v>38</v>
      </c>
      <c r="W15" s="18" t="s">
        <v>38</v>
      </c>
      <c r="X15" s="18" t="s">
        <v>38</v>
      </c>
      <c r="Y15" s="18" t="s">
        <v>38</v>
      </c>
      <c r="Z15" s="18" t="s">
        <v>38</v>
      </c>
      <c r="AA15" s="18" t="str">
        <f t="shared" si="3"/>
        <v>WO</v>
      </c>
      <c r="AB15" s="18" t="s">
        <v>38</v>
      </c>
      <c r="AC15" s="18" t="s">
        <v>38</v>
      </c>
      <c r="AD15" s="18" t="s">
        <v>38</v>
      </c>
      <c r="AE15" s="18" t="s">
        <v>38</v>
      </c>
      <c r="AF15" s="18" t="s">
        <v>38</v>
      </c>
      <c r="AG15" s="18" t="s">
        <v>38</v>
      </c>
      <c r="AH15" s="18" t="str">
        <f t="shared" si="3"/>
        <v>WO</v>
      </c>
      <c r="AI15" s="18" t="s">
        <v>38</v>
      </c>
      <c r="AJ15" s="18" t="s">
        <v>38</v>
      </c>
      <c r="AK15" s="18" t="s">
        <v>38</v>
      </c>
      <c r="AL15" s="18" t="s">
        <v>38</v>
      </c>
      <c r="AM15" s="18" t="s">
        <v>38</v>
      </c>
      <c r="AN15" s="19" t="s">
        <v>38</v>
      </c>
      <c r="AO15" s="32"/>
      <c r="AP15" s="34"/>
      <c r="AQ15" s="9">
        <v>7</v>
      </c>
      <c r="AR15" s="9">
        <v>1007</v>
      </c>
      <c r="AS15" s="9" t="str">
        <f t="shared" si="8"/>
        <v>May</v>
      </c>
      <c r="AT15" s="15" t="s">
        <v>9</v>
      </c>
      <c r="AU15" s="28">
        <f t="shared" si="4"/>
        <v>27</v>
      </c>
      <c r="AV15">
        <f t="shared" si="5"/>
        <v>0</v>
      </c>
      <c r="AW15">
        <f t="shared" si="6"/>
        <v>0</v>
      </c>
      <c r="AX15">
        <f t="shared" si="9"/>
        <v>4</v>
      </c>
      <c r="AY15" s="29">
        <f t="shared" si="10"/>
        <v>31</v>
      </c>
      <c r="AZ15" s="29">
        <f t="shared" si="11"/>
        <v>31</v>
      </c>
      <c r="BA15" s="30">
        <f t="shared" ca="1" si="12"/>
        <v>46109</v>
      </c>
      <c r="BB15" s="30">
        <f t="shared" ca="1" si="13"/>
        <v>1487.3870967741937</v>
      </c>
      <c r="BC15" s="30">
        <f t="shared" ca="1" si="14"/>
        <v>0</v>
      </c>
      <c r="BD15" s="30">
        <f t="shared" ca="1" si="15"/>
        <v>46109</v>
      </c>
      <c r="BF15" s="34"/>
      <c r="BG15" s="31"/>
      <c r="BH15" s="31"/>
      <c r="BI15" s="31"/>
      <c r="BJ15" s="31"/>
    </row>
    <row r="16" spans="1:62" x14ac:dyDescent="0.3">
      <c r="C16" s="31"/>
      <c r="D16" s="31"/>
      <c r="E16" s="32"/>
      <c r="F16" s="8">
        <v>8</v>
      </c>
      <c r="G16" s="9">
        <v>1008</v>
      </c>
      <c r="H16" s="15" t="s">
        <v>10</v>
      </c>
      <c r="I16" s="17">
        <f t="shared" si="7"/>
        <v>4</v>
      </c>
      <c r="J16" s="18" t="s">
        <v>38</v>
      </c>
      <c r="K16" s="18" t="s">
        <v>38</v>
      </c>
      <c r="L16" s="18" t="s">
        <v>38</v>
      </c>
      <c r="M16" s="18" t="str">
        <f t="shared" si="3"/>
        <v>WO</v>
      </c>
      <c r="N16" s="18" t="s">
        <v>38</v>
      </c>
      <c r="O16" s="18" t="s">
        <v>39</v>
      </c>
      <c r="P16" s="18" t="s">
        <v>38</v>
      </c>
      <c r="Q16" s="18" t="s">
        <v>38</v>
      </c>
      <c r="R16" s="18" t="s">
        <v>38</v>
      </c>
      <c r="S16" s="18" t="s">
        <v>38</v>
      </c>
      <c r="T16" s="18" t="str">
        <f t="shared" si="3"/>
        <v>WO</v>
      </c>
      <c r="U16" s="18" t="s">
        <v>38</v>
      </c>
      <c r="V16" s="18" t="s">
        <v>39</v>
      </c>
      <c r="W16" s="18" t="s">
        <v>38</v>
      </c>
      <c r="X16" s="18" t="s">
        <v>38</v>
      </c>
      <c r="Y16" s="18" t="s">
        <v>38</v>
      </c>
      <c r="Z16" s="18" t="s">
        <v>38</v>
      </c>
      <c r="AA16" s="18" t="str">
        <f t="shared" si="3"/>
        <v>WO</v>
      </c>
      <c r="AB16" s="18" t="s">
        <v>38</v>
      </c>
      <c r="AC16" s="18" t="s">
        <v>39</v>
      </c>
      <c r="AD16" s="18" t="s">
        <v>38</v>
      </c>
      <c r="AE16" s="18" t="s">
        <v>38</v>
      </c>
      <c r="AF16" s="18" t="s">
        <v>38</v>
      </c>
      <c r="AG16" s="18" t="s">
        <v>38</v>
      </c>
      <c r="AH16" s="18" t="str">
        <f t="shared" si="3"/>
        <v>WO</v>
      </c>
      <c r="AI16" s="18" t="s">
        <v>38</v>
      </c>
      <c r="AJ16" s="18" t="s">
        <v>39</v>
      </c>
      <c r="AK16" s="18" t="s">
        <v>38</v>
      </c>
      <c r="AL16" s="18" t="s">
        <v>38</v>
      </c>
      <c r="AM16" s="18" t="s">
        <v>38</v>
      </c>
      <c r="AN16" s="19" t="s">
        <v>38</v>
      </c>
      <c r="AO16" s="32"/>
      <c r="AP16" s="34"/>
      <c r="AQ16" s="9">
        <v>8</v>
      </c>
      <c r="AR16" s="9">
        <v>1008</v>
      </c>
      <c r="AS16" s="9" t="str">
        <f t="shared" si="8"/>
        <v>May</v>
      </c>
      <c r="AT16" s="15" t="s">
        <v>10</v>
      </c>
      <c r="AU16" s="28">
        <f t="shared" si="4"/>
        <v>23</v>
      </c>
      <c r="AV16">
        <f t="shared" si="5"/>
        <v>4</v>
      </c>
      <c r="AW16">
        <f t="shared" si="6"/>
        <v>0</v>
      </c>
      <c r="AX16">
        <f t="shared" si="9"/>
        <v>4</v>
      </c>
      <c r="AY16" s="29">
        <f t="shared" si="10"/>
        <v>31</v>
      </c>
      <c r="AZ16" s="29">
        <f t="shared" si="11"/>
        <v>27</v>
      </c>
      <c r="BA16" s="30">
        <f t="shared" ca="1" si="12"/>
        <v>34527</v>
      </c>
      <c r="BB16" s="30">
        <f t="shared" ca="1" si="13"/>
        <v>1278.7777777777778</v>
      </c>
      <c r="BC16" s="30">
        <f t="shared" ca="1" si="14"/>
        <v>5115.1111111111113</v>
      </c>
      <c r="BD16" s="30">
        <f t="shared" ca="1" si="15"/>
        <v>29411.888888888891</v>
      </c>
      <c r="BF16" s="34"/>
      <c r="BG16" s="31"/>
      <c r="BH16" s="31"/>
      <c r="BI16" s="31"/>
      <c r="BJ16" s="31"/>
    </row>
    <row r="17" spans="1:62" x14ac:dyDescent="0.3">
      <c r="C17" s="31"/>
      <c r="D17" s="31"/>
      <c r="E17" s="32"/>
      <c r="F17" s="8">
        <v>9</v>
      </c>
      <c r="G17" s="9">
        <v>1009</v>
      </c>
      <c r="H17" s="15" t="s">
        <v>11</v>
      </c>
      <c r="I17" s="17">
        <f t="shared" si="7"/>
        <v>4</v>
      </c>
      <c r="J17" s="18" t="s">
        <v>38</v>
      </c>
      <c r="K17" s="18" t="s">
        <v>38</v>
      </c>
      <c r="L17" s="18" t="s">
        <v>38</v>
      </c>
      <c r="M17" s="18" t="str">
        <f t="shared" si="3"/>
        <v>WO</v>
      </c>
      <c r="N17" s="18" t="s">
        <v>38</v>
      </c>
      <c r="O17" s="18" t="s">
        <v>38</v>
      </c>
      <c r="P17" s="18" t="s">
        <v>38</v>
      </c>
      <c r="Q17" s="18" t="s">
        <v>38</v>
      </c>
      <c r="R17" s="18" t="s">
        <v>38</v>
      </c>
      <c r="S17" s="18" t="s">
        <v>38</v>
      </c>
      <c r="T17" s="18" t="str">
        <f t="shared" si="3"/>
        <v>WO</v>
      </c>
      <c r="U17" s="18" t="s">
        <v>38</v>
      </c>
      <c r="V17" s="18" t="s">
        <v>38</v>
      </c>
      <c r="W17" s="18" t="s">
        <v>38</v>
      </c>
      <c r="X17" s="18" t="s">
        <v>38</v>
      </c>
      <c r="Y17" s="18" t="s">
        <v>38</v>
      </c>
      <c r="Z17" s="18" t="s">
        <v>38</v>
      </c>
      <c r="AA17" s="18" t="str">
        <f t="shared" ref="AA17:AH28" si="16">IF(AA$7="Sun","WO","")</f>
        <v>WO</v>
      </c>
      <c r="AB17" s="18" t="s">
        <v>38</v>
      </c>
      <c r="AC17" s="18" t="s">
        <v>38</v>
      </c>
      <c r="AD17" s="18" t="s">
        <v>38</v>
      </c>
      <c r="AE17" s="18" t="s">
        <v>38</v>
      </c>
      <c r="AF17" s="18" t="s">
        <v>38</v>
      </c>
      <c r="AG17" s="18" t="s">
        <v>38</v>
      </c>
      <c r="AH17" s="18" t="str">
        <f t="shared" si="16"/>
        <v>WO</v>
      </c>
      <c r="AI17" s="18" t="s">
        <v>38</v>
      </c>
      <c r="AJ17" s="18" t="s">
        <v>38</v>
      </c>
      <c r="AK17" s="18" t="s">
        <v>38</v>
      </c>
      <c r="AL17" s="18" t="s">
        <v>38</v>
      </c>
      <c r="AM17" s="18" t="s">
        <v>38</v>
      </c>
      <c r="AN17" s="19" t="s">
        <v>38</v>
      </c>
      <c r="AO17" s="32"/>
      <c r="AP17" s="34"/>
      <c r="AQ17" s="9">
        <v>9</v>
      </c>
      <c r="AR17" s="9">
        <v>1009</v>
      </c>
      <c r="AS17" s="9" t="str">
        <f t="shared" si="8"/>
        <v>May</v>
      </c>
      <c r="AT17" s="15" t="s">
        <v>11</v>
      </c>
      <c r="AU17" s="28">
        <f t="shared" si="4"/>
        <v>27</v>
      </c>
      <c r="AV17">
        <f t="shared" si="5"/>
        <v>0</v>
      </c>
      <c r="AW17">
        <f t="shared" si="6"/>
        <v>0</v>
      </c>
      <c r="AX17">
        <f t="shared" si="9"/>
        <v>4</v>
      </c>
      <c r="AY17" s="29">
        <f t="shared" si="10"/>
        <v>31</v>
      </c>
      <c r="AZ17" s="29">
        <f t="shared" si="11"/>
        <v>31</v>
      </c>
      <c r="BA17" s="30">
        <f t="shared" ca="1" si="12"/>
        <v>32120</v>
      </c>
      <c r="BB17" s="30">
        <f t="shared" ca="1" si="13"/>
        <v>1036.1290322580646</v>
      </c>
      <c r="BC17" s="30">
        <f t="shared" ca="1" si="14"/>
        <v>0</v>
      </c>
      <c r="BD17" s="30">
        <f t="shared" ca="1" si="15"/>
        <v>32120</v>
      </c>
      <c r="BF17" s="34"/>
      <c r="BG17" s="31"/>
      <c r="BH17" s="31"/>
      <c r="BI17" s="31"/>
      <c r="BJ17" s="31"/>
    </row>
    <row r="18" spans="1:62" x14ac:dyDescent="0.3">
      <c r="C18" s="31"/>
      <c r="D18" s="31"/>
      <c r="E18" s="32"/>
      <c r="F18" s="8">
        <v>10</v>
      </c>
      <c r="G18" s="9">
        <v>1010</v>
      </c>
      <c r="H18" s="15" t="s">
        <v>12</v>
      </c>
      <c r="I18" s="17">
        <f t="shared" si="7"/>
        <v>4</v>
      </c>
      <c r="J18" s="18" t="s">
        <v>39</v>
      </c>
      <c r="K18" s="18" t="s">
        <v>38</v>
      </c>
      <c r="L18" s="18" t="s">
        <v>38</v>
      </c>
      <c r="M18" s="18" t="str">
        <f t="shared" ref="M18:T28" si="17">IF(M$7="Sun","WO","")</f>
        <v>WO</v>
      </c>
      <c r="N18" s="18" t="s">
        <v>38</v>
      </c>
      <c r="O18" s="18" t="s">
        <v>38</v>
      </c>
      <c r="P18" s="18" t="s">
        <v>38</v>
      </c>
      <c r="Q18" s="18" t="s">
        <v>38</v>
      </c>
      <c r="R18" s="18" t="s">
        <v>38</v>
      </c>
      <c r="S18" s="18" t="s">
        <v>39</v>
      </c>
      <c r="T18" s="18" t="str">
        <f t="shared" si="17"/>
        <v>WO</v>
      </c>
      <c r="U18" s="18" t="s">
        <v>38</v>
      </c>
      <c r="V18" s="18" t="s">
        <v>38</v>
      </c>
      <c r="W18" s="18" t="s">
        <v>39</v>
      </c>
      <c r="X18" s="18" t="s">
        <v>38</v>
      </c>
      <c r="Y18" s="18" t="s">
        <v>39</v>
      </c>
      <c r="Z18" s="18" t="s">
        <v>38</v>
      </c>
      <c r="AA18" s="18" t="str">
        <f t="shared" si="16"/>
        <v>WO</v>
      </c>
      <c r="AB18" s="18" t="s">
        <v>38</v>
      </c>
      <c r="AC18" s="18" t="s">
        <v>38</v>
      </c>
      <c r="AD18" s="18" t="s">
        <v>39</v>
      </c>
      <c r="AE18" s="18" t="s">
        <v>38</v>
      </c>
      <c r="AF18" s="18" t="s">
        <v>39</v>
      </c>
      <c r="AG18" s="18" t="s">
        <v>39</v>
      </c>
      <c r="AH18" s="18" t="str">
        <f t="shared" si="16"/>
        <v>WO</v>
      </c>
      <c r="AI18" s="18" t="s">
        <v>38</v>
      </c>
      <c r="AJ18" s="18" t="s">
        <v>38</v>
      </c>
      <c r="AK18" s="18" t="s">
        <v>39</v>
      </c>
      <c r="AL18" s="18" t="s">
        <v>38</v>
      </c>
      <c r="AM18" s="18" t="s">
        <v>39</v>
      </c>
      <c r="AN18" s="19" t="s">
        <v>39</v>
      </c>
      <c r="AO18" s="32"/>
      <c r="AP18" s="34"/>
      <c r="AQ18" s="9">
        <v>10</v>
      </c>
      <c r="AR18" s="9">
        <v>1010</v>
      </c>
      <c r="AS18" s="9" t="str">
        <f t="shared" si="8"/>
        <v>May</v>
      </c>
      <c r="AT18" s="15" t="s">
        <v>12</v>
      </c>
      <c r="AU18" s="28">
        <f t="shared" si="4"/>
        <v>17</v>
      </c>
      <c r="AV18">
        <f t="shared" si="5"/>
        <v>10</v>
      </c>
      <c r="AW18">
        <f t="shared" si="6"/>
        <v>0</v>
      </c>
      <c r="AX18">
        <f t="shared" si="9"/>
        <v>4</v>
      </c>
      <c r="AY18" s="29">
        <f t="shared" si="10"/>
        <v>31</v>
      </c>
      <c r="AZ18" s="29">
        <f t="shared" si="11"/>
        <v>21</v>
      </c>
      <c r="BA18" s="30">
        <f t="shared" ca="1" si="12"/>
        <v>27268</v>
      </c>
      <c r="BB18" s="30">
        <f t="shared" ca="1" si="13"/>
        <v>1298.4761904761904</v>
      </c>
      <c r="BC18" s="30">
        <f t="shared" ca="1" si="14"/>
        <v>12984.761904761905</v>
      </c>
      <c r="BD18" s="30">
        <f t="shared" ca="1" si="15"/>
        <v>14283.238095238095</v>
      </c>
      <c r="BF18" s="34"/>
      <c r="BG18" s="31"/>
      <c r="BH18" s="31"/>
      <c r="BI18" s="31"/>
      <c r="BJ18" s="31"/>
    </row>
    <row r="19" spans="1:62" x14ac:dyDescent="0.3">
      <c r="C19" s="31"/>
      <c r="D19" s="31"/>
      <c r="E19" s="32"/>
      <c r="F19" s="8">
        <v>11</v>
      </c>
      <c r="G19" s="9">
        <v>1011</v>
      </c>
      <c r="H19" s="15" t="s">
        <v>13</v>
      </c>
      <c r="I19" s="17">
        <f t="shared" si="7"/>
        <v>4</v>
      </c>
      <c r="J19" s="18" t="s">
        <v>38</v>
      </c>
      <c r="K19" s="18" t="s">
        <v>38</v>
      </c>
      <c r="L19" s="18" t="s">
        <v>38</v>
      </c>
      <c r="M19" s="18" t="str">
        <f t="shared" si="17"/>
        <v>WO</v>
      </c>
      <c r="N19" s="18" t="s">
        <v>38</v>
      </c>
      <c r="O19" s="18" t="s">
        <v>38</v>
      </c>
      <c r="P19" s="18" t="s">
        <v>38</v>
      </c>
      <c r="Q19" s="18" t="s">
        <v>38</v>
      </c>
      <c r="R19" s="18" t="s">
        <v>38</v>
      </c>
      <c r="S19" s="18" t="s">
        <v>38</v>
      </c>
      <c r="T19" s="18" t="str">
        <f t="shared" si="17"/>
        <v>WO</v>
      </c>
      <c r="U19" s="18" t="s">
        <v>38</v>
      </c>
      <c r="V19" s="18" t="s">
        <v>38</v>
      </c>
      <c r="W19" s="18" t="s">
        <v>38</v>
      </c>
      <c r="X19" s="18" t="s">
        <v>38</v>
      </c>
      <c r="Y19" s="18" t="s">
        <v>38</v>
      </c>
      <c r="Z19" s="18" t="s">
        <v>38</v>
      </c>
      <c r="AA19" s="18" t="str">
        <f t="shared" si="16"/>
        <v>WO</v>
      </c>
      <c r="AB19" s="18" t="s">
        <v>38</v>
      </c>
      <c r="AC19" s="18" t="s">
        <v>38</v>
      </c>
      <c r="AD19" s="18" t="s">
        <v>38</v>
      </c>
      <c r="AE19" s="18" t="s">
        <v>38</v>
      </c>
      <c r="AF19" s="18" t="s">
        <v>38</v>
      </c>
      <c r="AG19" s="18" t="s">
        <v>38</v>
      </c>
      <c r="AH19" s="18" t="str">
        <f t="shared" si="16"/>
        <v>WO</v>
      </c>
      <c r="AI19" s="18" t="s">
        <v>38</v>
      </c>
      <c r="AJ19" s="18" t="s">
        <v>38</v>
      </c>
      <c r="AK19" s="18" t="s">
        <v>38</v>
      </c>
      <c r="AL19" s="18" t="s">
        <v>38</v>
      </c>
      <c r="AM19" s="18" t="s">
        <v>38</v>
      </c>
      <c r="AN19" s="19" t="s">
        <v>38</v>
      </c>
      <c r="AO19" s="32"/>
      <c r="AP19" s="34"/>
      <c r="AQ19" s="9">
        <v>11</v>
      </c>
      <c r="AR19" s="9">
        <v>1011</v>
      </c>
      <c r="AS19" s="9" t="str">
        <f t="shared" si="8"/>
        <v>May</v>
      </c>
      <c r="AT19" s="15" t="s">
        <v>13</v>
      </c>
      <c r="AU19" s="28">
        <f t="shared" si="4"/>
        <v>27</v>
      </c>
      <c r="AV19">
        <f t="shared" si="5"/>
        <v>0</v>
      </c>
      <c r="AW19">
        <f t="shared" si="6"/>
        <v>0</v>
      </c>
      <c r="AX19">
        <f t="shared" si="9"/>
        <v>4</v>
      </c>
      <c r="AY19" s="29">
        <f t="shared" si="10"/>
        <v>31</v>
      </c>
      <c r="AZ19" s="29">
        <f t="shared" si="11"/>
        <v>31</v>
      </c>
      <c r="BA19" s="30">
        <f t="shared" ca="1" si="12"/>
        <v>19746</v>
      </c>
      <c r="BB19" s="30">
        <f t="shared" ca="1" si="13"/>
        <v>636.9677419354839</v>
      </c>
      <c r="BC19" s="30">
        <f t="shared" ca="1" si="14"/>
        <v>0</v>
      </c>
      <c r="BD19" s="30">
        <f t="shared" ca="1" si="15"/>
        <v>19746</v>
      </c>
      <c r="BF19" s="34"/>
      <c r="BG19" s="31"/>
      <c r="BH19" s="31"/>
      <c r="BI19" s="31"/>
      <c r="BJ19" s="31"/>
    </row>
    <row r="20" spans="1:62" x14ac:dyDescent="0.3">
      <c r="C20" s="31"/>
      <c r="D20" s="31"/>
      <c r="E20" s="32"/>
      <c r="F20" s="8">
        <v>12</v>
      </c>
      <c r="G20" s="9">
        <v>1012</v>
      </c>
      <c r="H20" s="15" t="s">
        <v>14</v>
      </c>
      <c r="I20" s="17">
        <f t="shared" si="7"/>
        <v>4</v>
      </c>
      <c r="J20" s="18" t="s">
        <v>38</v>
      </c>
      <c r="K20" s="18" t="s">
        <v>38</v>
      </c>
      <c r="L20" s="18" t="s">
        <v>38</v>
      </c>
      <c r="M20" s="18" t="str">
        <f t="shared" si="17"/>
        <v>WO</v>
      </c>
      <c r="N20" s="18" t="s">
        <v>38</v>
      </c>
      <c r="O20" s="18" t="s">
        <v>38</v>
      </c>
      <c r="P20" s="18" t="s">
        <v>38</v>
      </c>
      <c r="Q20" s="18" t="s">
        <v>38</v>
      </c>
      <c r="R20" s="18" t="s">
        <v>38</v>
      </c>
      <c r="S20" s="18" t="s">
        <v>38</v>
      </c>
      <c r="T20" s="18" t="str">
        <f t="shared" si="17"/>
        <v>WO</v>
      </c>
      <c r="U20" s="18" t="s">
        <v>38</v>
      </c>
      <c r="V20" s="18" t="s">
        <v>38</v>
      </c>
      <c r="W20" s="18" t="s">
        <v>38</v>
      </c>
      <c r="X20" s="18" t="s">
        <v>38</v>
      </c>
      <c r="Y20" s="18" t="s">
        <v>38</v>
      </c>
      <c r="Z20" s="18" t="s">
        <v>38</v>
      </c>
      <c r="AA20" s="18" t="str">
        <f t="shared" si="16"/>
        <v>WO</v>
      </c>
      <c r="AB20" s="18" t="s">
        <v>38</v>
      </c>
      <c r="AC20" s="18" t="s">
        <v>38</v>
      </c>
      <c r="AD20" s="18" t="s">
        <v>38</v>
      </c>
      <c r="AE20" s="18" t="s">
        <v>38</v>
      </c>
      <c r="AF20" s="18" t="s">
        <v>38</v>
      </c>
      <c r="AG20" s="18" t="s">
        <v>38</v>
      </c>
      <c r="AH20" s="18" t="str">
        <f t="shared" si="16"/>
        <v>WO</v>
      </c>
      <c r="AI20" s="18" t="s">
        <v>38</v>
      </c>
      <c r="AJ20" s="18" t="s">
        <v>38</v>
      </c>
      <c r="AK20" s="18" t="s">
        <v>38</v>
      </c>
      <c r="AL20" s="18" t="s">
        <v>38</v>
      </c>
      <c r="AM20" s="18" t="s">
        <v>38</v>
      </c>
      <c r="AN20" s="19" t="s">
        <v>38</v>
      </c>
      <c r="AO20" s="32"/>
      <c r="AP20" s="34"/>
      <c r="AQ20" s="9">
        <v>12</v>
      </c>
      <c r="AR20" s="9">
        <v>1012</v>
      </c>
      <c r="AS20" s="9" t="str">
        <f t="shared" si="8"/>
        <v>May</v>
      </c>
      <c r="AT20" s="15" t="s">
        <v>14</v>
      </c>
      <c r="AU20" s="28">
        <f t="shared" si="4"/>
        <v>27</v>
      </c>
      <c r="AV20">
        <f t="shared" si="5"/>
        <v>0</v>
      </c>
      <c r="AW20">
        <f t="shared" si="6"/>
        <v>0</v>
      </c>
      <c r="AX20">
        <f t="shared" si="9"/>
        <v>4</v>
      </c>
      <c r="AY20" s="29">
        <f t="shared" si="10"/>
        <v>31</v>
      </c>
      <c r="AZ20" s="29">
        <f t="shared" si="11"/>
        <v>31</v>
      </c>
      <c r="BA20" s="30">
        <f t="shared" ca="1" si="12"/>
        <v>49489</v>
      </c>
      <c r="BB20" s="30">
        <f t="shared" ca="1" si="13"/>
        <v>1596.4193548387098</v>
      </c>
      <c r="BC20" s="30">
        <f t="shared" ca="1" si="14"/>
        <v>0</v>
      </c>
      <c r="BD20" s="30">
        <f t="shared" ca="1" si="15"/>
        <v>49489</v>
      </c>
      <c r="BF20" s="34"/>
      <c r="BG20" s="31"/>
      <c r="BH20" s="31"/>
      <c r="BI20" s="31"/>
      <c r="BJ20" s="31"/>
    </row>
    <row r="21" spans="1:62" x14ac:dyDescent="0.3">
      <c r="C21" s="31"/>
      <c r="D21" s="31"/>
      <c r="E21" s="32"/>
      <c r="F21" s="8">
        <v>13</v>
      </c>
      <c r="G21" s="9">
        <v>1013</v>
      </c>
      <c r="H21" s="15" t="s">
        <v>15</v>
      </c>
      <c r="I21" s="17">
        <f t="shared" si="7"/>
        <v>4</v>
      </c>
      <c r="J21" s="18" t="s">
        <v>38</v>
      </c>
      <c r="K21" s="18" t="s">
        <v>38</v>
      </c>
      <c r="L21" s="18" t="s">
        <v>38</v>
      </c>
      <c r="M21" s="18" t="str">
        <f t="shared" si="17"/>
        <v>WO</v>
      </c>
      <c r="N21" s="18" t="s">
        <v>38</v>
      </c>
      <c r="O21" s="18" t="s">
        <v>39</v>
      </c>
      <c r="P21" s="18" t="s">
        <v>38</v>
      </c>
      <c r="Q21" s="18" t="s">
        <v>38</v>
      </c>
      <c r="R21" s="18" t="s">
        <v>38</v>
      </c>
      <c r="S21" s="18" t="s">
        <v>38</v>
      </c>
      <c r="T21" s="18" t="str">
        <f t="shared" si="17"/>
        <v>WO</v>
      </c>
      <c r="U21" s="18" t="s">
        <v>38</v>
      </c>
      <c r="V21" s="18" t="s">
        <v>39</v>
      </c>
      <c r="W21" s="18" t="s">
        <v>38</v>
      </c>
      <c r="X21" s="18" t="s">
        <v>38</v>
      </c>
      <c r="Y21" s="18" t="s">
        <v>38</v>
      </c>
      <c r="Z21" s="18" t="s">
        <v>38</v>
      </c>
      <c r="AA21" s="18" t="str">
        <f t="shared" si="16"/>
        <v>WO</v>
      </c>
      <c r="AB21" s="18" t="s">
        <v>38</v>
      </c>
      <c r="AC21" s="18" t="s">
        <v>39</v>
      </c>
      <c r="AD21" s="18" t="s">
        <v>38</v>
      </c>
      <c r="AE21" s="18" t="s">
        <v>38</v>
      </c>
      <c r="AF21" s="18" t="s">
        <v>38</v>
      </c>
      <c r="AG21" s="18" t="s">
        <v>38</v>
      </c>
      <c r="AH21" s="18" t="str">
        <f t="shared" si="16"/>
        <v>WO</v>
      </c>
      <c r="AI21" s="18" t="s">
        <v>38</v>
      </c>
      <c r="AJ21" s="18" t="s">
        <v>39</v>
      </c>
      <c r="AK21" s="18" t="s">
        <v>38</v>
      </c>
      <c r="AL21" s="18" t="s">
        <v>38</v>
      </c>
      <c r="AM21" s="18" t="s">
        <v>38</v>
      </c>
      <c r="AN21" s="19" t="s">
        <v>38</v>
      </c>
      <c r="AO21" s="32"/>
      <c r="AP21" s="34"/>
      <c r="AQ21" s="9">
        <v>13</v>
      </c>
      <c r="AR21" s="9">
        <v>1013</v>
      </c>
      <c r="AS21" s="9" t="str">
        <f t="shared" si="8"/>
        <v>May</v>
      </c>
      <c r="AT21" s="15" t="s">
        <v>15</v>
      </c>
      <c r="AU21" s="28">
        <f t="shared" si="4"/>
        <v>23</v>
      </c>
      <c r="AV21">
        <f t="shared" si="5"/>
        <v>4</v>
      </c>
      <c r="AW21">
        <f t="shared" si="6"/>
        <v>0</v>
      </c>
      <c r="AX21">
        <f t="shared" si="9"/>
        <v>4</v>
      </c>
      <c r="AY21" s="29">
        <f t="shared" si="10"/>
        <v>31</v>
      </c>
      <c r="AZ21" s="29">
        <f t="shared" si="11"/>
        <v>27</v>
      </c>
      <c r="BA21" s="30">
        <f t="shared" ca="1" si="12"/>
        <v>34977</v>
      </c>
      <c r="BB21" s="30">
        <f t="shared" ca="1" si="13"/>
        <v>1295.4444444444443</v>
      </c>
      <c r="BC21" s="30">
        <f t="shared" ca="1" si="14"/>
        <v>5181.7777777777774</v>
      </c>
      <c r="BD21" s="30">
        <f t="shared" ca="1" si="15"/>
        <v>29795.222222222223</v>
      </c>
      <c r="BF21" s="34"/>
      <c r="BG21" s="31"/>
      <c r="BH21" s="31"/>
      <c r="BI21" s="31"/>
      <c r="BJ21" s="31"/>
    </row>
    <row r="22" spans="1:62" x14ac:dyDescent="0.3">
      <c r="C22" s="31"/>
      <c r="D22" s="31"/>
      <c r="E22" s="32"/>
      <c r="F22" s="8">
        <v>14</v>
      </c>
      <c r="G22" s="9">
        <v>1014</v>
      </c>
      <c r="H22" s="15" t="s">
        <v>16</v>
      </c>
      <c r="I22" s="17">
        <f t="shared" si="7"/>
        <v>4</v>
      </c>
      <c r="J22" s="18" t="s">
        <v>38</v>
      </c>
      <c r="K22" s="18" t="s">
        <v>38</v>
      </c>
      <c r="L22" s="18" t="s">
        <v>38</v>
      </c>
      <c r="M22" s="18" t="str">
        <f t="shared" si="17"/>
        <v>WO</v>
      </c>
      <c r="N22" s="18" t="s">
        <v>38</v>
      </c>
      <c r="O22" s="18" t="s">
        <v>38</v>
      </c>
      <c r="P22" s="18" t="s">
        <v>38</v>
      </c>
      <c r="Q22" s="18" t="s">
        <v>38</v>
      </c>
      <c r="R22" s="18" t="s">
        <v>38</v>
      </c>
      <c r="S22" s="18" t="s">
        <v>38</v>
      </c>
      <c r="T22" s="18" t="str">
        <f t="shared" si="17"/>
        <v>WO</v>
      </c>
      <c r="U22" s="18" t="s">
        <v>38</v>
      </c>
      <c r="V22" s="18" t="s">
        <v>38</v>
      </c>
      <c r="W22" s="18" t="s">
        <v>38</v>
      </c>
      <c r="X22" s="18" t="s">
        <v>38</v>
      </c>
      <c r="Y22" s="18" t="s">
        <v>38</v>
      </c>
      <c r="Z22" s="18" t="s">
        <v>38</v>
      </c>
      <c r="AA22" s="18" t="str">
        <f t="shared" si="16"/>
        <v>WO</v>
      </c>
      <c r="AB22" s="18" t="s">
        <v>38</v>
      </c>
      <c r="AC22" s="18" t="s">
        <v>38</v>
      </c>
      <c r="AD22" s="18" t="s">
        <v>38</v>
      </c>
      <c r="AE22" s="18" t="s">
        <v>38</v>
      </c>
      <c r="AF22" s="18" t="s">
        <v>38</v>
      </c>
      <c r="AG22" s="18" t="s">
        <v>38</v>
      </c>
      <c r="AH22" s="18" t="str">
        <f t="shared" si="16"/>
        <v>WO</v>
      </c>
      <c r="AI22" s="18" t="s">
        <v>38</v>
      </c>
      <c r="AJ22" s="18" t="s">
        <v>38</v>
      </c>
      <c r="AK22" s="18" t="s">
        <v>38</v>
      </c>
      <c r="AL22" s="18" t="s">
        <v>38</v>
      </c>
      <c r="AM22" s="18" t="s">
        <v>38</v>
      </c>
      <c r="AN22" s="19" t="s">
        <v>38</v>
      </c>
      <c r="AO22" s="32"/>
      <c r="AP22" s="34"/>
      <c r="AQ22" s="9">
        <v>14</v>
      </c>
      <c r="AR22" s="9">
        <v>1014</v>
      </c>
      <c r="AS22" s="9" t="str">
        <f t="shared" si="8"/>
        <v>May</v>
      </c>
      <c r="AT22" s="15" t="s">
        <v>16</v>
      </c>
      <c r="AU22" s="28">
        <f t="shared" si="4"/>
        <v>27</v>
      </c>
      <c r="AV22">
        <f t="shared" si="5"/>
        <v>0</v>
      </c>
      <c r="AW22">
        <f t="shared" si="6"/>
        <v>0</v>
      </c>
      <c r="AX22">
        <f t="shared" si="9"/>
        <v>4</v>
      </c>
      <c r="AY22" s="29">
        <f t="shared" si="10"/>
        <v>31</v>
      </c>
      <c r="AZ22" s="29">
        <f t="shared" si="11"/>
        <v>31</v>
      </c>
      <c r="BA22" s="30">
        <f t="shared" ca="1" si="12"/>
        <v>39912</v>
      </c>
      <c r="BB22" s="30">
        <f t="shared" ca="1" si="13"/>
        <v>1287.483870967742</v>
      </c>
      <c r="BC22" s="30">
        <f t="shared" ca="1" si="14"/>
        <v>0</v>
      </c>
      <c r="BD22" s="30">
        <f t="shared" ca="1" si="15"/>
        <v>39912</v>
      </c>
      <c r="BF22" s="34"/>
      <c r="BG22" s="31"/>
      <c r="BH22" s="31"/>
      <c r="BI22" s="31"/>
      <c r="BJ22" s="31"/>
    </row>
    <row r="23" spans="1:62" x14ac:dyDescent="0.3">
      <c r="C23" s="31"/>
      <c r="D23" s="31"/>
      <c r="E23" s="32"/>
      <c r="F23" s="8">
        <v>15</v>
      </c>
      <c r="G23" s="9">
        <v>1015</v>
      </c>
      <c r="H23" s="15" t="s">
        <v>17</v>
      </c>
      <c r="I23" s="17">
        <f t="shared" si="7"/>
        <v>4</v>
      </c>
      <c r="J23" s="18" t="s">
        <v>38</v>
      </c>
      <c r="K23" s="18" t="s">
        <v>38</v>
      </c>
      <c r="L23" s="18" t="s">
        <v>38</v>
      </c>
      <c r="M23" s="18" t="str">
        <f t="shared" si="17"/>
        <v>WO</v>
      </c>
      <c r="N23" s="18" t="s">
        <v>38</v>
      </c>
      <c r="O23" s="18" t="s">
        <v>38</v>
      </c>
      <c r="P23" s="18" t="s">
        <v>38</v>
      </c>
      <c r="Q23" s="18" t="s">
        <v>38</v>
      </c>
      <c r="R23" s="18" t="s">
        <v>38</v>
      </c>
      <c r="S23" s="18" t="s">
        <v>38</v>
      </c>
      <c r="T23" s="18" t="str">
        <f t="shared" si="17"/>
        <v>WO</v>
      </c>
      <c r="U23" s="18" t="s">
        <v>38</v>
      </c>
      <c r="V23" s="18" t="s">
        <v>38</v>
      </c>
      <c r="W23" s="18" t="s">
        <v>38</v>
      </c>
      <c r="X23" s="18" t="s">
        <v>38</v>
      </c>
      <c r="Y23" s="18" t="s">
        <v>38</v>
      </c>
      <c r="Z23" s="18" t="s">
        <v>38</v>
      </c>
      <c r="AA23" s="18" t="str">
        <f t="shared" si="16"/>
        <v>WO</v>
      </c>
      <c r="AB23" s="18" t="s">
        <v>38</v>
      </c>
      <c r="AC23" s="18" t="s">
        <v>38</v>
      </c>
      <c r="AD23" s="18" t="s">
        <v>38</v>
      </c>
      <c r="AE23" s="18" t="s">
        <v>38</v>
      </c>
      <c r="AF23" s="18" t="s">
        <v>38</v>
      </c>
      <c r="AG23" s="18" t="s">
        <v>38</v>
      </c>
      <c r="AH23" s="18" t="str">
        <f t="shared" si="16"/>
        <v>WO</v>
      </c>
      <c r="AI23" s="18" t="s">
        <v>38</v>
      </c>
      <c r="AJ23" s="18" t="s">
        <v>38</v>
      </c>
      <c r="AK23" s="18" t="s">
        <v>38</v>
      </c>
      <c r="AL23" s="18" t="s">
        <v>38</v>
      </c>
      <c r="AM23" s="18" t="s">
        <v>38</v>
      </c>
      <c r="AN23" s="19" t="s">
        <v>38</v>
      </c>
      <c r="AO23" s="32"/>
      <c r="AP23" s="34"/>
      <c r="AQ23" s="9">
        <v>15</v>
      </c>
      <c r="AR23" s="9">
        <v>1015</v>
      </c>
      <c r="AS23" s="9" t="str">
        <f t="shared" si="8"/>
        <v>May</v>
      </c>
      <c r="AT23" s="15" t="s">
        <v>17</v>
      </c>
      <c r="AU23" s="28">
        <f t="shared" si="4"/>
        <v>27</v>
      </c>
      <c r="AV23">
        <f t="shared" si="5"/>
        <v>0</v>
      </c>
      <c r="AW23">
        <f t="shared" si="6"/>
        <v>0</v>
      </c>
      <c r="AX23">
        <f t="shared" si="9"/>
        <v>4</v>
      </c>
      <c r="AY23" s="29">
        <f t="shared" si="10"/>
        <v>31</v>
      </c>
      <c r="AZ23" s="29">
        <f t="shared" si="11"/>
        <v>31</v>
      </c>
      <c r="BA23" s="30">
        <f t="shared" ca="1" si="12"/>
        <v>20635</v>
      </c>
      <c r="BB23" s="30">
        <f t="shared" ca="1" si="13"/>
        <v>665.64516129032256</v>
      </c>
      <c r="BC23" s="30">
        <f t="shared" ca="1" si="14"/>
        <v>0</v>
      </c>
      <c r="BD23" s="30">
        <f t="shared" ca="1" si="15"/>
        <v>20635</v>
      </c>
      <c r="BF23" s="34"/>
      <c r="BG23" s="31"/>
      <c r="BH23" s="31"/>
      <c r="BI23" s="31"/>
      <c r="BJ23" s="31"/>
    </row>
    <row r="24" spans="1:62" x14ac:dyDescent="0.3">
      <c r="C24" s="31"/>
      <c r="D24" s="31"/>
      <c r="E24" s="32"/>
      <c r="F24" s="8">
        <v>16</v>
      </c>
      <c r="G24" s="9">
        <v>1016</v>
      </c>
      <c r="H24" s="15" t="s">
        <v>18</v>
      </c>
      <c r="I24" s="17">
        <f t="shared" si="7"/>
        <v>4</v>
      </c>
      <c r="J24" s="18" t="s">
        <v>38</v>
      </c>
      <c r="K24" s="18" t="s">
        <v>38</v>
      </c>
      <c r="L24" s="18" t="s">
        <v>39</v>
      </c>
      <c r="M24" s="18" t="str">
        <f t="shared" si="17"/>
        <v>WO</v>
      </c>
      <c r="N24" s="18" t="s">
        <v>38</v>
      </c>
      <c r="O24" s="18" t="s">
        <v>38</v>
      </c>
      <c r="P24" s="18" t="s">
        <v>39</v>
      </c>
      <c r="Q24" s="18" t="s">
        <v>38</v>
      </c>
      <c r="R24" s="18" t="s">
        <v>38</v>
      </c>
      <c r="S24" s="18" t="s">
        <v>39</v>
      </c>
      <c r="T24" s="18" t="str">
        <f t="shared" si="17"/>
        <v>WO</v>
      </c>
      <c r="U24" s="18" t="s">
        <v>38</v>
      </c>
      <c r="V24" s="18" t="s">
        <v>38</v>
      </c>
      <c r="W24" s="18" t="s">
        <v>38</v>
      </c>
      <c r="X24" s="18" t="s">
        <v>38</v>
      </c>
      <c r="Y24" s="18" t="s">
        <v>38</v>
      </c>
      <c r="Z24" s="18" t="s">
        <v>38</v>
      </c>
      <c r="AA24" s="18" t="str">
        <f t="shared" si="16"/>
        <v>WO</v>
      </c>
      <c r="AB24" s="18" t="s">
        <v>38</v>
      </c>
      <c r="AC24" s="18" t="s">
        <v>38</v>
      </c>
      <c r="AD24" s="18" t="s">
        <v>40</v>
      </c>
      <c r="AE24" s="18" t="s">
        <v>38</v>
      </c>
      <c r="AF24" s="18" t="s">
        <v>40</v>
      </c>
      <c r="AG24" s="18" t="s">
        <v>39</v>
      </c>
      <c r="AH24" s="18" t="str">
        <f t="shared" si="16"/>
        <v>WO</v>
      </c>
      <c r="AI24" s="18" t="s">
        <v>38</v>
      </c>
      <c r="AJ24" s="18" t="s">
        <v>38</v>
      </c>
      <c r="AK24" s="18" t="s">
        <v>40</v>
      </c>
      <c r="AL24" s="18" t="s">
        <v>38</v>
      </c>
      <c r="AM24" s="18" t="s">
        <v>40</v>
      </c>
      <c r="AN24" s="19" t="s">
        <v>39</v>
      </c>
      <c r="AO24" s="32"/>
      <c r="AP24" s="34"/>
      <c r="AQ24" s="9">
        <v>16</v>
      </c>
      <c r="AR24" s="9">
        <v>1016</v>
      </c>
      <c r="AS24" s="9" t="str">
        <f t="shared" si="8"/>
        <v>May</v>
      </c>
      <c r="AT24" s="15" t="s">
        <v>18</v>
      </c>
      <c r="AU24" s="28">
        <f t="shared" si="4"/>
        <v>18</v>
      </c>
      <c r="AV24">
        <f t="shared" si="5"/>
        <v>5</v>
      </c>
      <c r="AW24">
        <f t="shared" si="6"/>
        <v>4</v>
      </c>
      <c r="AX24">
        <f t="shared" si="9"/>
        <v>4</v>
      </c>
      <c r="AY24" s="29">
        <f t="shared" si="10"/>
        <v>31</v>
      </c>
      <c r="AZ24" s="29">
        <f t="shared" si="11"/>
        <v>26</v>
      </c>
      <c r="BA24" s="30">
        <f t="shared" ca="1" si="12"/>
        <v>22850</v>
      </c>
      <c r="BB24" s="30">
        <f t="shared" ca="1" si="13"/>
        <v>878.84615384615381</v>
      </c>
      <c r="BC24" s="30">
        <f t="shared" ca="1" si="14"/>
        <v>4394.2307692307695</v>
      </c>
      <c r="BD24" s="30">
        <f t="shared" ca="1" si="15"/>
        <v>18455.76923076923</v>
      </c>
      <c r="BF24" s="34"/>
      <c r="BG24" s="31"/>
      <c r="BH24" s="31"/>
      <c r="BI24" s="31"/>
      <c r="BJ24" s="31"/>
    </row>
    <row r="25" spans="1:62" x14ac:dyDescent="0.3">
      <c r="C25" s="31"/>
      <c r="D25" s="31"/>
      <c r="E25" s="32"/>
      <c r="F25" s="8">
        <v>17</v>
      </c>
      <c r="G25" s="9">
        <v>1017</v>
      </c>
      <c r="H25" s="15" t="s">
        <v>19</v>
      </c>
      <c r="I25" s="17">
        <f t="shared" si="7"/>
        <v>4</v>
      </c>
      <c r="J25" s="18" t="s">
        <v>38</v>
      </c>
      <c r="K25" s="18" t="s">
        <v>38</v>
      </c>
      <c r="L25" s="18" t="s">
        <v>38</v>
      </c>
      <c r="M25" s="18" t="str">
        <f t="shared" si="17"/>
        <v>WO</v>
      </c>
      <c r="N25" s="18" t="s">
        <v>39</v>
      </c>
      <c r="O25" s="18" t="s">
        <v>38</v>
      </c>
      <c r="P25" s="18" t="s">
        <v>38</v>
      </c>
      <c r="Q25" s="18" t="s">
        <v>38</v>
      </c>
      <c r="R25" s="18" t="s">
        <v>38</v>
      </c>
      <c r="S25" s="18" t="s">
        <v>38</v>
      </c>
      <c r="T25" s="18" t="str">
        <f t="shared" si="17"/>
        <v>WO</v>
      </c>
      <c r="U25" s="18" t="s">
        <v>39</v>
      </c>
      <c r="V25" s="18" t="s">
        <v>38</v>
      </c>
      <c r="W25" s="18" t="s">
        <v>38</v>
      </c>
      <c r="X25" s="18" t="s">
        <v>38</v>
      </c>
      <c r="Y25" s="18" t="s">
        <v>38</v>
      </c>
      <c r="Z25" s="18" t="s">
        <v>38</v>
      </c>
      <c r="AA25" s="18" t="str">
        <f t="shared" si="16"/>
        <v>WO</v>
      </c>
      <c r="AB25" s="18" t="s">
        <v>39</v>
      </c>
      <c r="AC25" s="18" t="s">
        <v>38</v>
      </c>
      <c r="AD25" s="18" t="s">
        <v>38</v>
      </c>
      <c r="AE25" s="18" t="s">
        <v>38</v>
      </c>
      <c r="AF25" s="18" t="s">
        <v>38</v>
      </c>
      <c r="AG25" s="18" t="s">
        <v>38</v>
      </c>
      <c r="AH25" s="18" t="str">
        <f t="shared" si="16"/>
        <v>WO</v>
      </c>
      <c r="AI25" s="18" t="s">
        <v>39</v>
      </c>
      <c r="AJ25" s="18" t="s">
        <v>38</v>
      </c>
      <c r="AK25" s="18" t="s">
        <v>38</v>
      </c>
      <c r="AL25" s="18" t="s">
        <v>38</v>
      </c>
      <c r="AM25" s="18" t="s">
        <v>38</v>
      </c>
      <c r="AN25" s="19" t="s">
        <v>38</v>
      </c>
      <c r="AO25" s="32"/>
      <c r="AP25" s="34"/>
      <c r="AQ25" s="9">
        <v>17</v>
      </c>
      <c r="AR25" s="9">
        <v>1017</v>
      </c>
      <c r="AS25" s="9" t="str">
        <f t="shared" si="8"/>
        <v>May</v>
      </c>
      <c r="AT25" s="15" t="s">
        <v>19</v>
      </c>
      <c r="AU25" s="28">
        <f t="shared" si="4"/>
        <v>23</v>
      </c>
      <c r="AV25">
        <f t="shared" si="5"/>
        <v>4</v>
      </c>
      <c r="AW25">
        <f t="shared" si="6"/>
        <v>0</v>
      </c>
      <c r="AX25">
        <f t="shared" si="9"/>
        <v>4</v>
      </c>
      <c r="AY25" s="29">
        <f t="shared" si="10"/>
        <v>31</v>
      </c>
      <c r="AZ25" s="29">
        <f t="shared" si="11"/>
        <v>27</v>
      </c>
      <c r="BA25" s="30">
        <f t="shared" ca="1" si="12"/>
        <v>34792</v>
      </c>
      <c r="BB25" s="30">
        <f t="shared" ca="1" si="13"/>
        <v>1288.5925925925926</v>
      </c>
      <c r="BC25" s="30">
        <f t="shared" ca="1" si="14"/>
        <v>5154.3703703703704</v>
      </c>
      <c r="BD25" s="30">
        <f t="shared" ca="1" si="15"/>
        <v>29637.629629629628</v>
      </c>
      <c r="BF25" s="34"/>
      <c r="BG25" s="31"/>
      <c r="BH25" s="31"/>
      <c r="BI25" s="31"/>
      <c r="BJ25" s="31"/>
    </row>
    <row r="26" spans="1:62" x14ac:dyDescent="0.3">
      <c r="C26" s="31"/>
      <c r="D26" s="31"/>
      <c r="E26" s="32"/>
      <c r="F26" s="8">
        <v>18</v>
      </c>
      <c r="G26" s="9">
        <v>1018</v>
      </c>
      <c r="H26" s="15" t="s">
        <v>22</v>
      </c>
      <c r="I26" s="17">
        <f t="shared" si="7"/>
        <v>4</v>
      </c>
      <c r="J26" s="18" t="s">
        <v>38</v>
      </c>
      <c r="K26" s="18" t="s">
        <v>38</v>
      </c>
      <c r="L26" s="18" t="s">
        <v>38</v>
      </c>
      <c r="M26" s="18" t="str">
        <f t="shared" si="17"/>
        <v>WO</v>
      </c>
      <c r="N26" s="18" t="s">
        <v>38</v>
      </c>
      <c r="O26" s="18" t="s">
        <v>38</v>
      </c>
      <c r="P26" s="18" t="s">
        <v>38</v>
      </c>
      <c r="Q26" s="18" t="s">
        <v>38</v>
      </c>
      <c r="R26" s="18" t="s">
        <v>38</v>
      </c>
      <c r="S26" s="18" t="s">
        <v>38</v>
      </c>
      <c r="T26" s="18" t="str">
        <f t="shared" si="17"/>
        <v>WO</v>
      </c>
      <c r="U26" s="18" t="s">
        <v>38</v>
      </c>
      <c r="V26" s="18" t="s">
        <v>38</v>
      </c>
      <c r="W26" s="18" t="s">
        <v>38</v>
      </c>
      <c r="X26" s="18" t="s">
        <v>38</v>
      </c>
      <c r="Y26" s="18" t="s">
        <v>38</v>
      </c>
      <c r="Z26" s="18" t="s">
        <v>38</v>
      </c>
      <c r="AA26" s="18" t="str">
        <f t="shared" si="16"/>
        <v>WO</v>
      </c>
      <c r="AB26" s="18" t="s">
        <v>38</v>
      </c>
      <c r="AC26" s="18" t="s">
        <v>38</v>
      </c>
      <c r="AD26" s="18" t="s">
        <v>38</v>
      </c>
      <c r="AE26" s="18" t="s">
        <v>38</v>
      </c>
      <c r="AF26" s="18" t="s">
        <v>38</v>
      </c>
      <c r="AG26" s="18" t="s">
        <v>38</v>
      </c>
      <c r="AH26" s="18" t="str">
        <f t="shared" si="16"/>
        <v>WO</v>
      </c>
      <c r="AI26" s="18" t="s">
        <v>38</v>
      </c>
      <c r="AJ26" s="18" t="s">
        <v>38</v>
      </c>
      <c r="AK26" s="18" t="s">
        <v>38</v>
      </c>
      <c r="AL26" s="18" t="s">
        <v>38</v>
      </c>
      <c r="AM26" s="18" t="s">
        <v>38</v>
      </c>
      <c r="AN26" s="19" t="s">
        <v>38</v>
      </c>
      <c r="AO26" s="32"/>
      <c r="AP26" s="34"/>
      <c r="AQ26" s="9">
        <v>18</v>
      </c>
      <c r="AR26" s="9">
        <v>1018</v>
      </c>
      <c r="AS26" s="9" t="str">
        <f t="shared" si="8"/>
        <v>May</v>
      </c>
      <c r="AT26" s="15" t="s">
        <v>22</v>
      </c>
      <c r="AU26" s="28">
        <f t="shared" si="4"/>
        <v>27</v>
      </c>
      <c r="AV26">
        <f t="shared" si="5"/>
        <v>0</v>
      </c>
      <c r="AW26">
        <f t="shared" si="6"/>
        <v>0</v>
      </c>
      <c r="AX26">
        <f t="shared" si="9"/>
        <v>4</v>
      </c>
      <c r="AY26" s="29">
        <f t="shared" si="10"/>
        <v>31</v>
      </c>
      <c r="AZ26" s="29">
        <f t="shared" si="11"/>
        <v>31</v>
      </c>
      <c r="BA26" s="30">
        <f t="shared" ca="1" si="12"/>
        <v>43755</v>
      </c>
      <c r="BB26" s="30">
        <f t="shared" ca="1" si="13"/>
        <v>1411.4516129032259</v>
      </c>
      <c r="BC26" s="30">
        <f t="shared" ca="1" si="14"/>
        <v>0</v>
      </c>
      <c r="BD26" s="30">
        <f t="shared" ca="1" si="15"/>
        <v>43755</v>
      </c>
      <c r="BF26" s="34"/>
      <c r="BG26" s="31"/>
      <c r="BH26" s="31"/>
      <c r="BI26" s="31"/>
      <c r="BJ26" s="31"/>
    </row>
    <row r="27" spans="1:62" x14ac:dyDescent="0.3">
      <c r="C27" s="31"/>
      <c r="D27" s="31"/>
      <c r="E27" s="32"/>
      <c r="F27" s="8">
        <v>19</v>
      </c>
      <c r="G27" s="9">
        <v>1019</v>
      </c>
      <c r="H27" s="15" t="s">
        <v>20</v>
      </c>
      <c r="I27" s="17">
        <f t="shared" si="7"/>
        <v>4</v>
      </c>
      <c r="J27" s="18" t="s">
        <v>38</v>
      </c>
      <c r="K27" s="18" t="s">
        <v>38</v>
      </c>
      <c r="L27" s="18" t="s">
        <v>38</v>
      </c>
      <c r="M27" s="18" t="str">
        <f t="shared" si="17"/>
        <v>WO</v>
      </c>
      <c r="N27" s="18" t="s">
        <v>38</v>
      </c>
      <c r="O27" s="18" t="s">
        <v>39</v>
      </c>
      <c r="P27" s="18" t="s">
        <v>38</v>
      </c>
      <c r="Q27" s="18" t="s">
        <v>38</v>
      </c>
      <c r="R27" s="18" t="s">
        <v>38</v>
      </c>
      <c r="S27" s="18" t="s">
        <v>38</v>
      </c>
      <c r="T27" s="18" t="str">
        <f t="shared" si="17"/>
        <v>WO</v>
      </c>
      <c r="U27" s="18" t="s">
        <v>38</v>
      </c>
      <c r="V27" s="18" t="s">
        <v>38</v>
      </c>
      <c r="W27" s="18" t="s">
        <v>38</v>
      </c>
      <c r="X27" s="18" t="s">
        <v>38</v>
      </c>
      <c r="Y27" s="18" t="s">
        <v>38</v>
      </c>
      <c r="Z27" s="18" t="s">
        <v>38</v>
      </c>
      <c r="AA27" s="18" t="str">
        <f t="shared" si="16"/>
        <v>WO</v>
      </c>
      <c r="AB27" s="18" t="s">
        <v>38</v>
      </c>
      <c r="AC27" s="18" t="s">
        <v>39</v>
      </c>
      <c r="AD27" s="18" t="s">
        <v>38</v>
      </c>
      <c r="AE27" s="18" t="s">
        <v>38</v>
      </c>
      <c r="AF27" s="18" t="s">
        <v>38</v>
      </c>
      <c r="AG27" s="18" t="s">
        <v>38</v>
      </c>
      <c r="AH27" s="18" t="str">
        <f t="shared" si="16"/>
        <v>WO</v>
      </c>
      <c r="AI27" s="18" t="s">
        <v>38</v>
      </c>
      <c r="AJ27" s="18" t="s">
        <v>38</v>
      </c>
      <c r="AK27" s="18" t="s">
        <v>38</v>
      </c>
      <c r="AL27" s="18" t="s">
        <v>38</v>
      </c>
      <c r="AM27" s="18" t="s">
        <v>38</v>
      </c>
      <c r="AN27" s="19" t="s">
        <v>38</v>
      </c>
      <c r="AO27" s="32"/>
      <c r="AP27" s="34"/>
      <c r="AQ27" s="9">
        <v>19</v>
      </c>
      <c r="AR27" s="9">
        <v>1019</v>
      </c>
      <c r="AS27" s="9" t="str">
        <f t="shared" si="8"/>
        <v>May</v>
      </c>
      <c r="AT27" s="15" t="s">
        <v>20</v>
      </c>
      <c r="AU27" s="28">
        <f t="shared" si="4"/>
        <v>25</v>
      </c>
      <c r="AV27">
        <f t="shared" si="5"/>
        <v>2</v>
      </c>
      <c r="AW27">
        <f t="shared" si="6"/>
        <v>0</v>
      </c>
      <c r="AX27">
        <f t="shared" si="9"/>
        <v>4</v>
      </c>
      <c r="AY27" s="29">
        <f t="shared" si="10"/>
        <v>31</v>
      </c>
      <c r="AZ27" s="29">
        <f t="shared" si="11"/>
        <v>29</v>
      </c>
      <c r="BA27" s="30">
        <f t="shared" ca="1" si="12"/>
        <v>31144</v>
      </c>
      <c r="BB27" s="30">
        <f t="shared" ca="1" si="13"/>
        <v>1073.9310344827586</v>
      </c>
      <c r="BC27" s="30">
        <f t="shared" ca="1" si="14"/>
        <v>2147.8620689655172</v>
      </c>
      <c r="BD27" s="30">
        <f t="shared" ca="1" si="15"/>
        <v>28996.137931034482</v>
      </c>
      <c r="BF27" s="34"/>
      <c r="BG27" s="31"/>
      <c r="BH27" s="31"/>
      <c r="BI27" s="31"/>
      <c r="BJ27" s="31"/>
    </row>
    <row r="28" spans="1:62" ht="15" thickBot="1" x14ac:dyDescent="0.35">
      <c r="C28" s="31"/>
      <c r="D28" s="31"/>
      <c r="E28" s="32"/>
      <c r="F28" s="10">
        <v>20</v>
      </c>
      <c r="G28" s="11">
        <v>1020</v>
      </c>
      <c r="H28" s="16" t="s">
        <v>21</v>
      </c>
      <c r="I28" s="20">
        <f t="shared" si="7"/>
        <v>4</v>
      </c>
      <c r="J28" s="21" t="s">
        <v>38</v>
      </c>
      <c r="K28" s="21" t="s">
        <v>38</v>
      </c>
      <c r="L28" s="21" t="s">
        <v>38</v>
      </c>
      <c r="M28" s="21" t="str">
        <f t="shared" si="17"/>
        <v>WO</v>
      </c>
      <c r="N28" s="21" t="s">
        <v>38</v>
      </c>
      <c r="O28" s="21" t="s">
        <v>38</v>
      </c>
      <c r="P28" s="21" t="s">
        <v>38</v>
      </c>
      <c r="Q28" s="21" t="s">
        <v>39</v>
      </c>
      <c r="R28" s="21" t="s">
        <v>38</v>
      </c>
      <c r="S28" s="21" t="s">
        <v>38</v>
      </c>
      <c r="T28" s="21" t="str">
        <f t="shared" si="17"/>
        <v>WO</v>
      </c>
      <c r="U28" s="21" t="s">
        <v>38</v>
      </c>
      <c r="V28" s="21" t="s">
        <v>38</v>
      </c>
      <c r="W28" s="21" t="s">
        <v>38</v>
      </c>
      <c r="X28" s="21" t="s">
        <v>39</v>
      </c>
      <c r="Y28" s="21" t="s">
        <v>38</v>
      </c>
      <c r="Z28" s="21" t="s">
        <v>38</v>
      </c>
      <c r="AA28" s="21" t="str">
        <f t="shared" si="16"/>
        <v>WO</v>
      </c>
      <c r="AB28" s="21" t="s">
        <v>38</v>
      </c>
      <c r="AC28" s="21" t="s">
        <v>38</v>
      </c>
      <c r="AD28" s="21" t="s">
        <v>38</v>
      </c>
      <c r="AE28" s="21" t="s">
        <v>39</v>
      </c>
      <c r="AF28" s="21" t="s">
        <v>38</v>
      </c>
      <c r="AG28" s="21" t="s">
        <v>38</v>
      </c>
      <c r="AH28" s="21" t="str">
        <f t="shared" si="16"/>
        <v>WO</v>
      </c>
      <c r="AI28" s="21" t="s">
        <v>38</v>
      </c>
      <c r="AJ28" s="21" t="s">
        <v>38</v>
      </c>
      <c r="AK28" s="21" t="s">
        <v>38</v>
      </c>
      <c r="AL28" s="21" t="s">
        <v>39</v>
      </c>
      <c r="AM28" s="21" t="s">
        <v>38</v>
      </c>
      <c r="AN28" s="22" t="s">
        <v>38</v>
      </c>
      <c r="AO28" s="32"/>
      <c r="AP28" s="34"/>
      <c r="AQ28" s="9">
        <v>20</v>
      </c>
      <c r="AR28" s="9">
        <v>1020</v>
      </c>
      <c r="AS28" s="9" t="str">
        <f t="shared" si="8"/>
        <v>May</v>
      </c>
      <c r="AT28" s="15" t="s">
        <v>21</v>
      </c>
      <c r="AU28" s="28">
        <f t="shared" si="4"/>
        <v>23</v>
      </c>
      <c r="AV28">
        <f t="shared" si="5"/>
        <v>4</v>
      </c>
      <c r="AW28">
        <f t="shared" si="6"/>
        <v>0</v>
      </c>
      <c r="AX28">
        <f t="shared" si="9"/>
        <v>4</v>
      </c>
      <c r="AY28" s="29">
        <f t="shared" si="10"/>
        <v>31</v>
      </c>
      <c r="AZ28" s="29">
        <f t="shared" si="11"/>
        <v>27</v>
      </c>
      <c r="BA28" s="30">
        <f t="shared" ca="1" si="12"/>
        <v>24975</v>
      </c>
      <c r="BB28" s="30">
        <f t="shared" ca="1" si="13"/>
        <v>925</v>
      </c>
      <c r="BC28" s="30">
        <f t="shared" ca="1" si="14"/>
        <v>3700</v>
      </c>
      <c r="BD28" s="30">
        <f t="shared" ca="1" si="15"/>
        <v>21275</v>
      </c>
      <c r="BF28" s="34"/>
      <c r="BG28" s="31"/>
      <c r="BH28" s="31"/>
      <c r="BI28" s="31"/>
      <c r="BJ28" s="31"/>
    </row>
    <row r="29" spans="1:62" x14ac:dyDescent="0.3">
      <c r="A29" s="31"/>
      <c r="B29" s="31"/>
      <c r="C29" s="31"/>
      <c r="D29" s="31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1"/>
      <c r="BH29" s="31"/>
      <c r="BI29" s="31"/>
      <c r="BJ29" s="31"/>
    </row>
    <row r="30" spans="1:62" x14ac:dyDescent="0.3">
      <c r="A30" s="31"/>
      <c r="B30" s="31"/>
      <c r="C30" s="31"/>
      <c r="D30" s="31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1"/>
      <c r="BH30" s="31"/>
      <c r="BI30" s="31"/>
      <c r="BJ30" s="31"/>
    </row>
    <row r="31" spans="1:62" x14ac:dyDescent="0.3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</row>
    <row r="32" spans="1:62" x14ac:dyDescent="0.3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</row>
    <row r="33" spans="1:62" x14ac:dyDescent="0.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</row>
    <row r="34" spans="1:62" x14ac:dyDescent="0.3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</row>
    <row r="35" spans="1:62" x14ac:dyDescent="0.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</row>
    <row r="36" spans="1:62" x14ac:dyDescent="0.3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</row>
    <row r="37" spans="1:62" x14ac:dyDescent="0.3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</row>
    <row r="38" spans="1:62" x14ac:dyDescent="0.3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</row>
    <row r="39" spans="1:62" x14ac:dyDescent="0.3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</row>
    <row r="40" spans="1:62" x14ac:dyDescent="0.3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</row>
    <row r="41" spans="1:62" x14ac:dyDescent="0.3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</row>
    <row r="42" spans="1:62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</row>
    <row r="43" spans="1:62" x14ac:dyDescent="0.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</row>
    <row r="44" spans="1:62" x14ac:dyDescent="0.3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</row>
    <row r="45" spans="1:62" x14ac:dyDescent="0.3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</row>
    <row r="46" spans="1:62" x14ac:dyDescent="0.3">
      <c r="AO46" s="31"/>
      <c r="AP46" s="31"/>
      <c r="BF46" s="31"/>
      <c r="BG46" s="31"/>
      <c r="BH46" s="31"/>
      <c r="BI46" s="31"/>
      <c r="BJ46" s="31"/>
    </row>
    <row r="47" spans="1:62" x14ac:dyDescent="0.3">
      <c r="AO47" s="31"/>
      <c r="AP47" s="31"/>
      <c r="BF47" s="31"/>
      <c r="BG47" s="31"/>
      <c r="BH47" s="31"/>
      <c r="BI47" s="31"/>
      <c r="BJ47" s="31"/>
    </row>
    <row r="48" spans="1:62" x14ac:dyDescent="0.3">
      <c r="AO48" s="31"/>
      <c r="AP48" s="31"/>
      <c r="BF48" s="31"/>
      <c r="BG48" s="31"/>
      <c r="BH48" s="31"/>
      <c r="BI48" s="31"/>
      <c r="BJ48" s="31"/>
    </row>
    <row r="49" spans="41:62" x14ac:dyDescent="0.3">
      <c r="AO49" s="31"/>
      <c r="AP49" s="31"/>
      <c r="BF49" s="31"/>
      <c r="BG49" s="31"/>
      <c r="BH49" s="31"/>
      <c r="BI49" s="31"/>
      <c r="BJ49" s="31"/>
    </row>
  </sheetData>
  <conditionalFormatting sqref="J9:L28">
    <cfRule type="containsText" dxfId="257" priority="33" operator="containsText" text="L">
      <formula>NOT(ISERROR(SEARCH("L",J9)))</formula>
    </cfRule>
    <cfRule type="containsText" dxfId="256" priority="34" operator="containsText" text="A">
      <formula>NOT(ISERROR(SEARCH("A",J9)))</formula>
    </cfRule>
    <cfRule type="containsText" dxfId="255" priority="35" operator="containsText" text="P">
      <formula>NOT(ISERROR(SEARCH("P",J9)))</formula>
    </cfRule>
    <cfRule type="containsText" dxfId="254" priority="36" operator="containsText" text="WO">
      <formula>NOT(ISERROR(SEARCH("WO",J9)))</formula>
    </cfRule>
  </conditionalFormatting>
  <conditionalFormatting sqref="M9:M28 T9:T28 AA9:AA28 AH9:AH28">
    <cfRule type="containsText" dxfId="253" priority="61" operator="containsText" text="L">
      <formula>NOT(ISERROR(SEARCH("L",M9)))</formula>
    </cfRule>
    <cfRule type="containsText" dxfId="252" priority="62" operator="containsText" text="A">
      <formula>NOT(ISERROR(SEARCH("A",M9)))</formula>
    </cfRule>
    <cfRule type="containsText" dxfId="251" priority="63" operator="containsText" text="P">
      <formula>NOT(ISERROR(SEARCH("P",M9)))</formula>
    </cfRule>
    <cfRule type="containsText" dxfId="250" priority="77" operator="containsText" text="P">
      <formula>NOT(ISERROR(SEARCH("P",M9)))</formula>
    </cfRule>
    <cfRule type="containsText" dxfId="249" priority="78" operator="containsText" text="L">
      <formula>NOT(ISERROR(SEARCH("L",M9)))</formula>
    </cfRule>
    <cfRule type="containsText" dxfId="248" priority="79" operator="containsText" text="A">
      <formula>NOT(ISERROR(SEARCH("A",M9)))</formula>
    </cfRule>
    <cfRule type="containsText" dxfId="247" priority="80" operator="containsText" text="P">
      <formula>NOT(ISERROR(SEARCH("P",M9)))</formula>
    </cfRule>
    <cfRule type="containsText" dxfId="246" priority="81" operator="containsText" text="WO">
      <formula>NOT(ISERROR(SEARCH("WO",M9)))</formula>
    </cfRule>
  </conditionalFormatting>
  <conditionalFormatting sqref="N9:S28">
    <cfRule type="containsText" dxfId="245" priority="25" operator="containsText" text="L">
      <formula>NOT(ISERROR(SEARCH("L",N9)))</formula>
    </cfRule>
    <cfRule type="containsText" dxfId="244" priority="26" operator="containsText" text="A">
      <formula>NOT(ISERROR(SEARCH("A",N9)))</formula>
    </cfRule>
    <cfRule type="containsText" dxfId="243" priority="27" operator="containsText" text="P">
      <formula>NOT(ISERROR(SEARCH("P",N9)))</formula>
    </cfRule>
    <cfRule type="containsText" dxfId="242" priority="28" operator="containsText" text="WO">
      <formula>NOT(ISERROR(SEARCH("WO",N9)))</formula>
    </cfRule>
  </conditionalFormatting>
  <conditionalFormatting sqref="T9:T28 M9:M28 AA9:AA28 AH9:AH28">
    <cfRule type="containsText" dxfId="241" priority="73" operator="containsText" text="A">
      <formula>NOT(ISERROR(SEARCH("A",M9)))</formula>
    </cfRule>
  </conditionalFormatting>
  <conditionalFormatting sqref="T9:T28">
    <cfRule type="containsText" dxfId="240" priority="70" operator="containsText" text="L">
      <formula>NOT(ISERROR(SEARCH("L",T9)))</formula>
    </cfRule>
  </conditionalFormatting>
  <conditionalFormatting sqref="U9:Z28">
    <cfRule type="containsText" dxfId="239" priority="17" operator="containsText" text="L">
      <formula>NOT(ISERROR(SEARCH("L",U9)))</formula>
    </cfRule>
    <cfRule type="containsText" dxfId="238" priority="18" operator="containsText" text="A">
      <formula>NOT(ISERROR(SEARCH("A",U9)))</formula>
    </cfRule>
    <cfRule type="containsText" dxfId="237" priority="19" operator="containsText" text="P">
      <formula>NOT(ISERROR(SEARCH("P",U9)))</formula>
    </cfRule>
    <cfRule type="containsText" dxfId="236" priority="20" operator="containsText" text="WO">
      <formula>NOT(ISERROR(SEARCH("WO",U9)))</formula>
    </cfRule>
  </conditionalFormatting>
  <conditionalFormatting sqref="AB9:AG28">
    <cfRule type="containsText" dxfId="235" priority="9" operator="containsText" text="L">
      <formula>NOT(ISERROR(SEARCH("L",AB9)))</formula>
    </cfRule>
    <cfRule type="containsText" dxfId="234" priority="10" operator="containsText" text="A">
      <formula>NOT(ISERROR(SEARCH("A",AB9)))</formula>
    </cfRule>
    <cfRule type="containsText" dxfId="233" priority="11" operator="containsText" text="P">
      <formula>NOT(ISERROR(SEARCH("P",AB9)))</formula>
    </cfRule>
    <cfRule type="containsText" dxfId="232" priority="12" operator="containsText" text="WO">
      <formula>NOT(ISERROR(SEARCH("WO",AB9)))</formula>
    </cfRule>
  </conditionalFormatting>
  <conditionalFormatting sqref="AI9:AN28">
    <cfRule type="containsText" dxfId="231" priority="1" operator="containsText" text="L">
      <formula>NOT(ISERROR(SEARCH("L",AI9)))</formula>
    </cfRule>
    <cfRule type="containsText" dxfId="230" priority="2" operator="containsText" text="A">
      <formula>NOT(ISERROR(SEARCH("A",AI9)))</formula>
    </cfRule>
    <cfRule type="containsText" dxfId="229" priority="3" operator="containsText" text="P">
      <formula>NOT(ISERROR(SEARCH("P",AI9)))</formula>
    </cfRule>
    <cfRule type="containsText" dxfId="228" priority="4" operator="containsText" text="WO">
      <formula>NOT(ISERROR(SEARCH("WO",AI9)))</formula>
    </cfRule>
  </conditionalFormatting>
  <dataValidations count="1">
    <dataValidation type="list" allowBlank="1" showInputMessage="1" showErrorMessage="1" sqref="F7:I28 J7:AN8 N9:S28 U9:Z28 AB9:AG28 AI9:AN28 J9:L28" xr:uid="{2585C884-E052-4B95-B177-E4CD59ECAF47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CF74C7F-444D-47B5-AD92-3E28E3BC14F1}">
          <x14:formula1>
            <xm:f>Rough!$A$1:$A$12</xm:f>
          </x14:formula1>
          <xm:sqref>G5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412B66C3-5178-463B-A871-3E1BBCEDFFD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May!AU9:AX9</xm:f>
              <xm:sqref>BE9</xm:sqref>
            </x14:sparkline>
            <x14:sparkline>
              <xm:f>May!AU10:AX10</xm:f>
              <xm:sqref>BE10</xm:sqref>
            </x14:sparkline>
            <x14:sparkline>
              <xm:f>May!AU11:AX11</xm:f>
              <xm:sqref>BE11</xm:sqref>
            </x14:sparkline>
            <x14:sparkline>
              <xm:f>May!AU12:AX12</xm:f>
              <xm:sqref>BE12</xm:sqref>
            </x14:sparkline>
            <x14:sparkline>
              <xm:f>May!AU13:AX13</xm:f>
              <xm:sqref>BE13</xm:sqref>
            </x14:sparkline>
            <x14:sparkline>
              <xm:f>May!AU14:AX14</xm:f>
              <xm:sqref>BE14</xm:sqref>
            </x14:sparkline>
            <x14:sparkline>
              <xm:f>May!AU15:AX15</xm:f>
              <xm:sqref>BE15</xm:sqref>
            </x14:sparkline>
            <x14:sparkline>
              <xm:f>May!AU16:AX16</xm:f>
              <xm:sqref>BE16</xm:sqref>
            </x14:sparkline>
            <x14:sparkline>
              <xm:f>May!AU17:AX17</xm:f>
              <xm:sqref>BE17</xm:sqref>
            </x14:sparkline>
            <x14:sparkline>
              <xm:f>May!AU18:AX18</xm:f>
              <xm:sqref>BE18</xm:sqref>
            </x14:sparkline>
            <x14:sparkline>
              <xm:f>May!AU19:AX19</xm:f>
              <xm:sqref>BE19</xm:sqref>
            </x14:sparkline>
            <x14:sparkline>
              <xm:f>May!AU20:AX20</xm:f>
              <xm:sqref>BE20</xm:sqref>
            </x14:sparkline>
            <x14:sparkline>
              <xm:f>May!AU21:AX21</xm:f>
              <xm:sqref>BE21</xm:sqref>
            </x14:sparkline>
            <x14:sparkline>
              <xm:f>May!AU22:AX22</xm:f>
              <xm:sqref>BE22</xm:sqref>
            </x14:sparkline>
            <x14:sparkline>
              <xm:f>May!AU23:AX23</xm:f>
              <xm:sqref>BE23</xm:sqref>
            </x14:sparkline>
            <x14:sparkline>
              <xm:f>May!AU24:AX24</xm:f>
              <xm:sqref>BE24</xm:sqref>
            </x14:sparkline>
            <x14:sparkline>
              <xm:f>May!AU25:AX25</xm:f>
              <xm:sqref>BE25</xm:sqref>
            </x14:sparkline>
            <x14:sparkline>
              <xm:f>May!AU26:AX26</xm:f>
              <xm:sqref>BE26</xm:sqref>
            </x14:sparkline>
            <x14:sparkline>
              <xm:f>May!AU27:AX27</xm:f>
              <xm:sqref>BE27</xm:sqref>
            </x14:sparkline>
            <x14:sparkline>
              <xm:f>May!AU28:AX28</xm:f>
              <xm:sqref>BE28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2D774-02EA-4235-8A31-FE7BA905212A}">
  <dimension ref="A1:BJ49"/>
  <sheetViews>
    <sheetView workbookViewId="0"/>
  </sheetViews>
  <sheetFormatPr defaultRowHeight="14.4" x14ac:dyDescent="0.3"/>
  <cols>
    <col min="6" max="6" width="6.33203125" bestFit="1" customWidth="1"/>
    <col min="7" max="7" width="14.33203125" bestFit="1" customWidth="1"/>
    <col min="8" max="8" width="18.77734375" bestFit="1" customWidth="1"/>
    <col min="9" max="9" width="10.5546875" bestFit="1" customWidth="1"/>
    <col min="10" max="10" width="5.5546875" customWidth="1"/>
    <col min="11" max="11" width="4" bestFit="1" customWidth="1"/>
    <col min="12" max="12" width="3.88671875" customWidth="1"/>
    <col min="13" max="13" width="3.5546875" bestFit="1" customWidth="1"/>
    <col min="14" max="14" width="3.88671875" bestFit="1" customWidth="1"/>
    <col min="15" max="15" width="4.77734375" bestFit="1" customWidth="1"/>
    <col min="16" max="16" width="4" bestFit="1" customWidth="1"/>
    <col min="17" max="17" width="4.77734375" bestFit="1" customWidth="1"/>
    <col min="18" max="18" width="4" bestFit="1" customWidth="1"/>
    <col min="19" max="19" width="3.44140625" customWidth="1"/>
    <col min="20" max="20" width="3.5546875" bestFit="1" customWidth="1"/>
    <col min="21" max="21" width="3.88671875" bestFit="1" customWidth="1"/>
    <col min="22" max="22" width="4.77734375" bestFit="1" customWidth="1"/>
    <col min="23" max="23" width="4" bestFit="1" customWidth="1"/>
    <col min="24" max="24" width="4.77734375" bestFit="1" customWidth="1"/>
    <col min="25" max="25" width="4" bestFit="1" customWidth="1"/>
    <col min="26" max="26" width="3.44140625" customWidth="1"/>
    <col min="27" max="27" width="3.5546875" bestFit="1" customWidth="1"/>
    <col min="28" max="28" width="3.88671875" bestFit="1" customWidth="1"/>
    <col min="29" max="29" width="4.77734375" bestFit="1" customWidth="1"/>
    <col min="30" max="30" width="4" bestFit="1" customWidth="1"/>
    <col min="31" max="31" width="4.77734375" bestFit="1" customWidth="1"/>
    <col min="32" max="32" width="4" bestFit="1" customWidth="1"/>
    <col min="33" max="33" width="4" customWidth="1"/>
    <col min="34" max="34" width="3.5546875" bestFit="1" customWidth="1"/>
    <col min="35" max="35" width="3.88671875" bestFit="1" customWidth="1"/>
    <col min="36" max="36" width="4.77734375" bestFit="1" customWidth="1"/>
    <col min="37" max="37" width="4" bestFit="1" customWidth="1"/>
    <col min="38" max="38" width="4.77734375" bestFit="1" customWidth="1"/>
    <col min="39" max="39" width="4" bestFit="1" customWidth="1"/>
    <col min="40" max="40" width="3.44140625" customWidth="1"/>
    <col min="44" max="44" width="16" customWidth="1"/>
    <col min="45" max="45" width="13.6640625" customWidth="1"/>
    <col min="46" max="46" width="20.33203125" customWidth="1"/>
    <col min="47" max="47" width="11" customWidth="1"/>
    <col min="48" max="48" width="10.33203125" customWidth="1"/>
    <col min="49" max="49" width="9.109375" customWidth="1"/>
    <col min="50" max="50" width="13" customWidth="1"/>
    <col min="51" max="51" width="8" customWidth="1"/>
    <col min="52" max="52" width="13.6640625" customWidth="1"/>
    <col min="53" max="53" width="11.5546875" bestFit="1" customWidth="1"/>
    <col min="54" max="54" width="17.77734375" customWidth="1"/>
    <col min="55" max="55" width="13.88671875" customWidth="1"/>
    <col min="56" max="56" width="15.21875" customWidth="1"/>
    <col min="57" max="57" width="12.77734375" customWidth="1"/>
  </cols>
  <sheetData>
    <row r="1" spans="1:62" x14ac:dyDescent="0.3">
      <c r="AP1" s="31"/>
      <c r="BF1" s="31"/>
      <c r="BG1" s="31"/>
      <c r="BH1" s="31"/>
      <c r="BI1" s="31"/>
      <c r="BJ1" s="31"/>
    </row>
    <row r="2" spans="1:62" x14ac:dyDescent="0.3">
      <c r="AP2" s="31"/>
      <c r="BF2" s="31"/>
      <c r="BG2" s="31"/>
      <c r="BH2" s="31"/>
      <c r="BI2" s="31"/>
      <c r="BJ2" s="31"/>
    </row>
    <row r="3" spans="1:62" x14ac:dyDescent="0.3">
      <c r="AP3" s="31"/>
      <c r="BF3" s="31"/>
      <c r="BG3" s="31"/>
      <c r="BH3" s="31"/>
      <c r="BI3" s="31"/>
      <c r="BJ3" s="31"/>
    </row>
    <row r="4" spans="1:62" x14ac:dyDescent="0.3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</row>
    <row r="5" spans="1:62" x14ac:dyDescent="0.3">
      <c r="A5" s="31"/>
      <c r="B5" s="31"/>
      <c r="C5" s="31"/>
      <c r="D5" s="31"/>
      <c r="E5" s="35" t="str">
        <f>TEXT(G5,"mmmm")</f>
        <v>June</v>
      </c>
      <c r="F5" s="35" t="s">
        <v>26</v>
      </c>
      <c r="G5" s="36">
        <v>45809</v>
      </c>
      <c r="H5" s="37">
        <f>(DATEDIF($G$5,$J$5,"D"))+1</f>
        <v>30</v>
      </c>
      <c r="I5" s="35" t="s">
        <v>27</v>
      </c>
      <c r="J5" s="36">
        <f>EOMONTH(G5,0)</f>
        <v>45838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</row>
    <row r="6" spans="1:62" ht="15" thickBot="1" x14ac:dyDescent="0.35">
      <c r="A6" s="31"/>
      <c r="B6" s="31"/>
      <c r="C6" s="31"/>
      <c r="D6" s="31"/>
      <c r="E6" s="32"/>
      <c r="F6" s="32"/>
      <c r="G6" s="32"/>
      <c r="H6" s="32"/>
      <c r="I6" s="32"/>
      <c r="J6" s="33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1"/>
      <c r="BH6" s="31"/>
      <c r="BI6" s="31"/>
      <c r="BJ6" s="31"/>
    </row>
    <row r="7" spans="1:62" ht="15" thickBot="1" x14ac:dyDescent="0.35">
      <c r="C7" s="31"/>
      <c r="D7" s="31"/>
      <c r="E7" s="32"/>
      <c r="F7" s="5"/>
      <c r="G7" s="6" t="s">
        <v>29</v>
      </c>
      <c r="H7" s="7"/>
      <c r="I7" s="5" t="s">
        <v>28</v>
      </c>
      <c r="J7" s="23" t="str">
        <f>TEXT(J8,"DDD")</f>
        <v>Sun</v>
      </c>
      <c r="K7" s="23" t="str">
        <f>TEXT(K8,"DDD")</f>
        <v>Mon</v>
      </c>
      <c r="L7" s="23" t="str">
        <f t="shared" ref="L7:AI7" si="0">TEXT(L8,"DDD")</f>
        <v>Tue</v>
      </c>
      <c r="M7" s="23" t="str">
        <f t="shared" si="0"/>
        <v>Wed</v>
      </c>
      <c r="N7" s="23" t="str">
        <f t="shared" si="0"/>
        <v>Thu</v>
      </c>
      <c r="O7" s="23" t="str">
        <f t="shared" si="0"/>
        <v>Fri</v>
      </c>
      <c r="P7" s="23" t="str">
        <f t="shared" si="0"/>
        <v>Sat</v>
      </c>
      <c r="Q7" s="23" t="str">
        <f t="shared" si="0"/>
        <v>Sun</v>
      </c>
      <c r="R7" s="23" t="str">
        <f t="shared" si="0"/>
        <v>Mon</v>
      </c>
      <c r="S7" s="23" t="str">
        <f t="shared" si="0"/>
        <v>Tue</v>
      </c>
      <c r="T7" s="23" t="str">
        <f t="shared" si="0"/>
        <v>Wed</v>
      </c>
      <c r="U7" s="23" t="str">
        <f t="shared" si="0"/>
        <v>Thu</v>
      </c>
      <c r="V7" s="23" t="str">
        <f t="shared" si="0"/>
        <v>Fri</v>
      </c>
      <c r="W7" s="23" t="str">
        <f t="shared" si="0"/>
        <v>Sat</v>
      </c>
      <c r="X7" s="23" t="str">
        <f t="shared" si="0"/>
        <v>Sun</v>
      </c>
      <c r="Y7" s="23" t="str">
        <f t="shared" si="0"/>
        <v>Mon</v>
      </c>
      <c r="Z7" s="23" t="str">
        <f t="shared" si="0"/>
        <v>Tue</v>
      </c>
      <c r="AA7" s="23" t="str">
        <f t="shared" si="0"/>
        <v>Wed</v>
      </c>
      <c r="AB7" s="23" t="str">
        <f t="shared" si="0"/>
        <v>Thu</v>
      </c>
      <c r="AC7" s="23" t="str">
        <f t="shared" si="0"/>
        <v>Fri</v>
      </c>
      <c r="AD7" s="23" t="str">
        <f t="shared" si="0"/>
        <v>Sat</v>
      </c>
      <c r="AE7" s="23" t="str">
        <f t="shared" si="0"/>
        <v>Sun</v>
      </c>
      <c r="AF7" s="23" t="str">
        <f t="shared" si="0"/>
        <v>Mon</v>
      </c>
      <c r="AG7" s="23" t="str">
        <f t="shared" si="0"/>
        <v>Tue</v>
      </c>
      <c r="AH7" s="23" t="str">
        <f t="shared" si="0"/>
        <v>Wed</v>
      </c>
      <c r="AI7" s="23" t="str">
        <f t="shared" si="0"/>
        <v>Thu</v>
      </c>
      <c r="AJ7" s="23" t="str">
        <f>TEXT(AJ8,"DDD")</f>
        <v>Fri</v>
      </c>
      <c r="AK7" s="23" t="str">
        <f>TEXT(AK8,"DDD")</f>
        <v>Sat</v>
      </c>
      <c r="AL7" s="23" t="str">
        <f t="shared" ref="AL7:AN7" si="1">TEXT(AL8,"DDD")</f>
        <v>Sun</v>
      </c>
      <c r="AM7" s="23" t="str">
        <f t="shared" si="1"/>
        <v>Mon</v>
      </c>
      <c r="AN7" s="24" t="str">
        <f t="shared" si="1"/>
        <v/>
      </c>
      <c r="AO7" s="32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1"/>
      <c r="BH7" s="31"/>
      <c r="BI7" s="31"/>
      <c r="BJ7" s="31"/>
    </row>
    <row r="8" spans="1:62" ht="18.600000000000001" thickBot="1" x14ac:dyDescent="0.4">
      <c r="C8" s="31"/>
      <c r="D8" s="31"/>
      <c r="E8" s="32"/>
      <c r="F8" s="12" t="s">
        <v>23</v>
      </c>
      <c r="G8" s="13" t="s">
        <v>2</v>
      </c>
      <c r="H8" s="14" t="s">
        <v>24</v>
      </c>
      <c r="I8" s="25" t="s">
        <v>25</v>
      </c>
      <c r="J8" s="26">
        <f>G5</f>
        <v>45809</v>
      </c>
      <c r="K8" s="26">
        <f>IF(J8&lt;$J$5,J8+1,"")</f>
        <v>45810</v>
      </c>
      <c r="L8" s="26">
        <f t="shared" ref="L8:AN8" si="2">IF(K8&lt;$J$5,K8+1,"")</f>
        <v>45811</v>
      </c>
      <c r="M8" s="26">
        <f t="shared" si="2"/>
        <v>45812</v>
      </c>
      <c r="N8" s="26">
        <f t="shared" si="2"/>
        <v>45813</v>
      </c>
      <c r="O8" s="26">
        <f t="shared" si="2"/>
        <v>45814</v>
      </c>
      <c r="P8" s="26">
        <f t="shared" si="2"/>
        <v>45815</v>
      </c>
      <c r="Q8" s="26">
        <f t="shared" si="2"/>
        <v>45816</v>
      </c>
      <c r="R8" s="26">
        <f t="shared" si="2"/>
        <v>45817</v>
      </c>
      <c r="S8" s="26">
        <f t="shared" si="2"/>
        <v>45818</v>
      </c>
      <c r="T8" s="26">
        <f t="shared" si="2"/>
        <v>45819</v>
      </c>
      <c r="U8" s="26">
        <f t="shared" si="2"/>
        <v>45820</v>
      </c>
      <c r="V8" s="26">
        <f t="shared" si="2"/>
        <v>45821</v>
      </c>
      <c r="W8" s="26">
        <f t="shared" si="2"/>
        <v>45822</v>
      </c>
      <c r="X8" s="26">
        <f t="shared" si="2"/>
        <v>45823</v>
      </c>
      <c r="Y8" s="26">
        <f t="shared" si="2"/>
        <v>45824</v>
      </c>
      <c r="Z8" s="26">
        <f t="shared" si="2"/>
        <v>45825</v>
      </c>
      <c r="AA8" s="26">
        <f t="shared" si="2"/>
        <v>45826</v>
      </c>
      <c r="AB8" s="26">
        <f t="shared" si="2"/>
        <v>45827</v>
      </c>
      <c r="AC8" s="26">
        <f t="shared" si="2"/>
        <v>45828</v>
      </c>
      <c r="AD8" s="26">
        <f t="shared" si="2"/>
        <v>45829</v>
      </c>
      <c r="AE8" s="26">
        <f t="shared" si="2"/>
        <v>45830</v>
      </c>
      <c r="AF8" s="26">
        <f t="shared" si="2"/>
        <v>45831</v>
      </c>
      <c r="AG8" s="26">
        <f t="shared" si="2"/>
        <v>45832</v>
      </c>
      <c r="AH8" s="26">
        <f t="shared" si="2"/>
        <v>45833</v>
      </c>
      <c r="AI8" s="26">
        <f t="shared" si="2"/>
        <v>45834</v>
      </c>
      <c r="AJ8" s="26">
        <f t="shared" si="2"/>
        <v>45835</v>
      </c>
      <c r="AK8" s="26">
        <f t="shared" si="2"/>
        <v>45836</v>
      </c>
      <c r="AL8" s="26">
        <f t="shared" si="2"/>
        <v>45837</v>
      </c>
      <c r="AM8" s="26">
        <f t="shared" si="2"/>
        <v>45838</v>
      </c>
      <c r="AN8" s="27" t="str">
        <f t="shared" si="2"/>
        <v/>
      </c>
      <c r="AO8" s="32"/>
      <c r="AP8" s="34"/>
      <c r="AQ8" s="38" t="s">
        <v>23</v>
      </c>
      <c r="AR8" s="38" t="s">
        <v>2</v>
      </c>
      <c r="AS8" s="38" t="s">
        <v>42</v>
      </c>
      <c r="AT8" s="39" t="s">
        <v>24</v>
      </c>
      <c r="AU8" s="40" t="s">
        <v>30</v>
      </c>
      <c r="AV8" s="38" t="s">
        <v>31</v>
      </c>
      <c r="AW8" s="38" t="s">
        <v>32</v>
      </c>
      <c r="AX8" s="38" t="s">
        <v>25</v>
      </c>
      <c r="AY8" s="38" t="s">
        <v>28</v>
      </c>
      <c r="AZ8" s="38" t="s">
        <v>33</v>
      </c>
      <c r="BA8" s="38" t="s">
        <v>34</v>
      </c>
      <c r="BB8" s="38" t="s">
        <v>35</v>
      </c>
      <c r="BC8" s="40" t="s">
        <v>36</v>
      </c>
      <c r="BD8" s="38" t="s">
        <v>37</v>
      </c>
      <c r="BE8" s="38" t="s">
        <v>41</v>
      </c>
      <c r="BF8" s="34"/>
      <c r="BG8" s="31"/>
      <c r="BH8" s="31"/>
      <c r="BI8" s="31"/>
      <c r="BJ8" s="31"/>
    </row>
    <row r="9" spans="1:62" x14ac:dyDescent="0.3">
      <c r="C9" s="31"/>
      <c r="D9" s="31"/>
      <c r="E9" s="32"/>
      <c r="F9" s="8">
        <v>1</v>
      </c>
      <c r="G9" s="9">
        <v>1001</v>
      </c>
      <c r="H9" s="15" t="s">
        <v>3</v>
      </c>
      <c r="I9" s="17">
        <f>COUNTIF($J$7:$AN$7,"Sun")</f>
        <v>5</v>
      </c>
      <c r="J9" s="18" t="str">
        <f>IF(J$7="Sun","WO","")</f>
        <v>WO</v>
      </c>
      <c r="K9" s="18" t="s">
        <v>38</v>
      </c>
      <c r="L9" s="18" t="s">
        <v>38</v>
      </c>
      <c r="M9" s="18" t="s">
        <v>38</v>
      </c>
      <c r="N9" s="18" t="s">
        <v>38</v>
      </c>
      <c r="O9" s="18" t="s">
        <v>38</v>
      </c>
      <c r="P9" s="18" t="s">
        <v>38</v>
      </c>
      <c r="Q9" s="18" t="str">
        <f t="shared" ref="Q9:AN17" si="3">IF(Q$7="Sun","WO","")</f>
        <v>WO</v>
      </c>
      <c r="R9" s="18" t="s">
        <v>38</v>
      </c>
      <c r="S9" s="18" t="s">
        <v>38</v>
      </c>
      <c r="T9" s="18" t="s">
        <v>38</v>
      </c>
      <c r="U9" s="18" t="s">
        <v>38</v>
      </c>
      <c r="V9" s="18" t="s">
        <v>38</v>
      </c>
      <c r="W9" s="18" t="s">
        <v>38</v>
      </c>
      <c r="X9" s="18" t="str">
        <f t="shared" si="3"/>
        <v>WO</v>
      </c>
      <c r="Y9" s="18" t="s">
        <v>38</v>
      </c>
      <c r="Z9" s="18" t="s">
        <v>38</v>
      </c>
      <c r="AA9" s="18" t="s">
        <v>38</v>
      </c>
      <c r="AB9" s="18" t="s">
        <v>38</v>
      </c>
      <c r="AC9" s="18" t="s">
        <v>38</v>
      </c>
      <c r="AD9" s="18" t="s">
        <v>38</v>
      </c>
      <c r="AE9" s="18" t="str">
        <f t="shared" si="3"/>
        <v>WO</v>
      </c>
      <c r="AF9" s="18" t="s">
        <v>38</v>
      </c>
      <c r="AG9" s="18" t="s">
        <v>38</v>
      </c>
      <c r="AH9" s="18" t="s">
        <v>38</v>
      </c>
      <c r="AI9" s="18" t="s">
        <v>38</v>
      </c>
      <c r="AJ9" s="18" t="s">
        <v>38</v>
      </c>
      <c r="AK9" s="18" t="s">
        <v>38</v>
      </c>
      <c r="AL9" s="18" t="str">
        <f t="shared" si="3"/>
        <v>WO</v>
      </c>
      <c r="AM9" s="18" t="s">
        <v>38</v>
      </c>
      <c r="AN9" s="19" t="str">
        <f t="shared" si="3"/>
        <v/>
      </c>
      <c r="AO9" s="32"/>
      <c r="AP9" s="34"/>
      <c r="AQ9" s="9">
        <v>1</v>
      </c>
      <c r="AR9" s="9">
        <v>1001</v>
      </c>
      <c r="AS9" s="9" t="str">
        <f>$E$5</f>
        <v>June</v>
      </c>
      <c r="AT9" s="15" t="s">
        <v>3</v>
      </c>
      <c r="AU9" s="28">
        <f>COUNTIF($J9:$AN9,"P")</f>
        <v>25</v>
      </c>
      <c r="AV9">
        <f t="shared" ref="AV9:AV28" si="4">COUNTIF($J9:$AN9,"A")</f>
        <v>0</v>
      </c>
      <c r="AW9">
        <f t="shared" ref="AW9:AW28" si="5">COUNTIF($J9:$AN9,"L")</f>
        <v>0</v>
      </c>
      <c r="AX9">
        <f>$I$9</f>
        <v>5</v>
      </c>
      <c r="AY9" s="29">
        <f>$H$5</f>
        <v>30</v>
      </c>
      <c r="AZ9" s="29">
        <f>AY9-AV9</f>
        <v>30</v>
      </c>
      <c r="BA9" s="30">
        <f ca="1">RANDBETWEEN(10000,50000)</f>
        <v>33477</v>
      </c>
      <c r="BB9" s="30">
        <f ca="1">BA9/AZ9</f>
        <v>1115.9000000000001</v>
      </c>
      <c r="BC9" s="30">
        <f ca="1">BB9*AV9</f>
        <v>0</v>
      </c>
      <c r="BD9" s="30">
        <f ca="1">BA9-BC9</f>
        <v>33477</v>
      </c>
      <c r="BF9" s="34"/>
      <c r="BG9" s="31"/>
      <c r="BH9" s="31"/>
      <c r="BI9" s="31"/>
      <c r="BJ9" s="31"/>
    </row>
    <row r="10" spans="1:62" x14ac:dyDescent="0.3">
      <c r="C10" s="31"/>
      <c r="D10" s="31"/>
      <c r="E10" s="32"/>
      <c r="F10" s="8">
        <v>2</v>
      </c>
      <c r="G10" s="9">
        <v>1002</v>
      </c>
      <c r="H10" s="15" t="s">
        <v>4</v>
      </c>
      <c r="I10" s="17">
        <f t="shared" ref="I10:I28" si="6">COUNTIF($J$7:$AN$7,"Sun")</f>
        <v>5</v>
      </c>
      <c r="J10" s="18" t="str">
        <f t="shared" ref="J10:X28" si="7">IF(J$7="Sun","WO","")</f>
        <v>WO</v>
      </c>
      <c r="K10" s="18" t="s">
        <v>38</v>
      </c>
      <c r="L10" s="18" t="s">
        <v>38</v>
      </c>
      <c r="M10" s="18" t="s">
        <v>39</v>
      </c>
      <c r="N10" s="18" t="s">
        <v>38</v>
      </c>
      <c r="O10" s="18" t="s">
        <v>39</v>
      </c>
      <c r="P10" s="18" t="s">
        <v>39</v>
      </c>
      <c r="Q10" s="18" t="str">
        <f t="shared" si="3"/>
        <v>WO</v>
      </c>
      <c r="R10" s="18" t="s">
        <v>38</v>
      </c>
      <c r="S10" s="18" t="s">
        <v>38</v>
      </c>
      <c r="T10" s="18" t="s">
        <v>39</v>
      </c>
      <c r="U10" s="18" t="s">
        <v>38</v>
      </c>
      <c r="V10" s="18" t="s">
        <v>39</v>
      </c>
      <c r="W10" s="18" t="s">
        <v>39</v>
      </c>
      <c r="X10" s="18" t="str">
        <f t="shared" si="3"/>
        <v>WO</v>
      </c>
      <c r="Y10" s="18" t="s">
        <v>38</v>
      </c>
      <c r="Z10" s="18" t="s">
        <v>38</v>
      </c>
      <c r="AA10" s="18" t="s">
        <v>39</v>
      </c>
      <c r="AB10" s="18" t="s">
        <v>38</v>
      </c>
      <c r="AC10" s="18" t="s">
        <v>39</v>
      </c>
      <c r="AD10" s="18" t="s">
        <v>39</v>
      </c>
      <c r="AE10" s="18" t="str">
        <f t="shared" si="3"/>
        <v>WO</v>
      </c>
      <c r="AF10" s="18" t="s">
        <v>38</v>
      </c>
      <c r="AG10" s="18" t="s">
        <v>38</v>
      </c>
      <c r="AH10" s="18" t="s">
        <v>39</v>
      </c>
      <c r="AI10" s="18" t="s">
        <v>38</v>
      </c>
      <c r="AJ10" s="18" t="s">
        <v>39</v>
      </c>
      <c r="AK10" s="18" t="s">
        <v>39</v>
      </c>
      <c r="AL10" s="18" t="str">
        <f t="shared" si="3"/>
        <v>WO</v>
      </c>
      <c r="AM10" s="18" t="s">
        <v>39</v>
      </c>
      <c r="AN10" s="19" t="str">
        <f t="shared" si="3"/>
        <v/>
      </c>
      <c r="AO10" s="32"/>
      <c r="AP10" s="34"/>
      <c r="AQ10" s="9">
        <v>2</v>
      </c>
      <c r="AR10" s="9">
        <v>1002</v>
      </c>
      <c r="AS10" s="9" t="str">
        <f t="shared" ref="AS10:AS28" si="8">$E$5</f>
        <v>June</v>
      </c>
      <c r="AT10" s="15" t="s">
        <v>4</v>
      </c>
      <c r="AU10" s="28">
        <f t="shared" ref="AU10:AU28" si="9">COUNTIF($J10:$AN10,"P")</f>
        <v>12</v>
      </c>
      <c r="AV10">
        <f t="shared" si="4"/>
        <v>13</v>
      </c>
      <c r="AW10">
        <f t="shared" si="5"/>
        <v>0</v>
      </c>
      <c r="AX10">
        <f t="shared" ref="AX10:AX28" si="10">$I$9</f>
        <v>5</v>
      </c>
      <c r="AY10" s="29">
        <f t="shared" ref="AY10:AY28" si="11">$H$5</f>
        <v>30</v>
      </c>
      <c r="AZ10" s="29">
        <f t="shared" ref="AZ10:AZ28" si="12">AY10-AV10</f>
        <v>17</v>
      </c>
      <c r="BA10" s="30">
        <f t="shared" ref="BA10:BA28" ca="1" si="13">RANDBETWEEN(10000,50000)</f>
        <v>14482</v>
      </c>
      <c r="BB10" s="30">
        <f t="shared" ref="BB10:BB28" ca="1" si="14">BA10/AZ10</f>
        <v>851.88235294117646</v>
      </c>
      <c r="BC10" s="30">
        <f t="shared" ref="BC10:BC28" ca="1" si="15">BB10*AV10</f>
        <v>11074.470588235294</v>
      </c>
      <c r="BD10" s="30">
        <f t="shared" ref="BD10:BD28" ca="1" si="16">BA10-BC10</f>
        <v>3407.5294117647063</v>
      </c>
      <c r="BF10" s="34"/>
      <c r="BG10" s="31"/>
      <c r="BH10" s="31"/>
      <c r="BI10" s="31"/>
      <c r="BJ10" s="31"/>
    </row>
    <row r="11" spans="1:62" x14ac:dyDescent="0.3">
      <c r="C11" s="31"/>
      <c r="D11" s="31"/>
      <c r="E11" s="32"/>
      <c r="F11" s="8">
        <v>3</v>
      </c>
      <c r="G11" s="9">
        <v>1003</v>
      </c>
      <c r="H11" s="15" t="s">
        <v>5</v>
      </c>
      <c r="I11" s="17">
        <f t="shared" si="6"/>
        <v>5</v>
      </c>
      <c r="J11" s="18" t="str">
        <f t="shared" si="7"/>
        <v>WO</v>
      </c>
      <c r="K11" s="18" t="s">
        <v>38</v>
      </c>
      <c r="L11" s="18" t="s">
        <v>39</v>
      </c>
      <c r="M11" s="18" t="s">
        <v>38</v>
      </c>
      <c r="N11" s="18" t="s">
        <v>38</v>
      </c>
      <c r="O11" s="18" t="s">
        <v>38</v>
      </c>
      <c r="P11" s="18" t="s">
        <v>38</v>
      </c>
      <c r="Q11" s="18" t="str">
        <f t="shared" si="3"/>
        <v>WO</v>
      </c>
      <c r="R11" s="18" t="s">
        <v>38</v>
      </c>
      <c r="S11" s="18" t="s">
        <v>39</v>
      </c>
      <c r="T11" s="18" t="s">
        <v>38</v>
      </c>
      <c r="U11" s="18" t="s">
        <v>38</v>
      </c>
      <c r="V11" s="18" t="s">
        <v>38</v>
      </c>
      <c r="W11" s="18" t="s">
        <v>38</v>
      </c>
      <c r="X11" s="18" t="str">
        <f t="shared" si="3"/>
        <v>WO</v>
      </c>
      <c r="Y11" s="18" t="s">
        <v>38</v>
      </c>
      <c r="Z11" s="18" t="s">
        <v>39</v>
      </c>
      <c r="AA11" s="18" t="s">
        <v>38</v>
      </c>
      <c r="AB11" s="18" t="s">
        <v>38</v>
      </c>
      <c r="AC11" s="18" t="s">
        <v>38</v>
      </c>
      <c r="AD11" s="18" t="s">
        <v>38</v>
      </c>
      <c r="AE11" s="18" t="str">
        <f t="shared" si="3"/>
        <v>WO</v>
      </c>
      <c r="AF11" s="18" t="s">
        <v>38</v>
      </c>
      <c r="AG11" s="18" t="s">
        <v>39</v>
      </c>
      <c r="AH11" s="18" t="s">
        <v>38</v>
      </c>
      <c r="AI11" s="18" t="s">
        <v>38</v>
      </c>
      <c r="AJ11" s="18" t="s">
        <v>38</v>
      </c>
      <c r="AK11" s="18" t="s">
        <v>38</v>
      </c>
      <c r="AL11" s="18" t="str">
        <f t="shared" si="3"/>
        <v>WO</v>
      </c>
      <c r="AM11" s="18" t="s">
        <v>38</v>
      </c>
      <c r="AN11" s="19" t="str">
        <f t="shared" si="3"/>
        <v/>
      </c>
      <c r="AO11" s="32"/>
      <c r="AP11" s="34"/>
      <c r="AQ11" s="9">
        <v>3</v>
      </c>
      <c r="AR11" s="9">
        <v>1003</v>
      </c>
      <c r="AS11" s="9" t="str">
        <f t="shared" si="8"/>
        <v>June</v>
      </c>
      <c r="AT11" s="15" t="s">
        <v>5</v>
      </c>
      <c r="AU11" s="28">
        <f t="shared" si="9"/>
        <v>21</v>
      </c>
      <c r="AV11">
        <f t="shared" si="4"/>
        <v>4</v>
      </c>
      <c r="AW11">
        <f t="shared" si="5"/>
        <v>0</v>
      </c>
      <c r="AX11">
        <f t="shared" si="10"/>
        <v>5</v>
      </c>
      <c r="AY11" s="29">
        <f t="shared" si="11"/>
        <v>30</v>
      </c>
      <c r="AZ11" s="29">
        <f t="shared" si="12"/>
        <v>26</v>
      </c>
      <c r="BA11" s="30">
        <f t="shared" ca="1" si="13"/>
        <v>43592</v>
      </c>
      <c r="BB11" s="30">
        <f t="shared" ca="1" si="14"/>
        <v>1676.6153846153845</v>
      </c>
      <c r="BC11" s="30">
        <f t="shared" ca="1" si="15"/>
        <v>6706.4615384615381</v>
      </c>
      <c r="BD11" s="30">
        <f t="shared" ca="1" si="16"/>
        <v>36885.538461538461</v>
      </c>
      <c r="BF11" s="34"/>
      <c r="BG11" s="31"/>
      <c r="BH11" s="31"/>
      <c r="BI11" s="31"/>
      <c r="BJ11" s="31"/>
    </row>
    <row r="12" spans="1:62" x14ac:dyDescent="0.3">
      <c r="C12" s="31"/>
      <c r="D12" s="31"/>
      <c r="E12" s="32"/>
      <c r="F12" s="8">
        <v>4</v>
      </c>
      <c r="G12" s="9">
        <v>1004</v>
      </c>
      <c r="H12" s="15" t="s">
        <v>6</v>
      </c>
      <c r="I12" s="17">
        <f t="shared" si="6"/>
        <v>5</v>
      </c>
      <c r="J12" s="18" t="str">
        <f t="shared" si="7"/>
        <v>WO</v>
      </c>
      <c r="K12" s="18" t="s">
        <v>38</v>
      </c>
      <c r="L12" s="18" t="s">
        <v>39</v>
      </c>
      <c r="M12" s="18" t="s">
        <v>38</v>
      </c>
      <c r="N12" s="18" t="s">
        <v>38</v>
      </c>
      <c r="O12" s="18" t="s">
        <v>38</v>
      </c>
      <c r="P12" s="18" t="s">
        <v>38</v>
      </c>
      <c r="Q12" s="18" t="str">
        <f t="shared" si="3"/>
        <v>WO</v>
      </c>
      <c r="R12" s="18" t="s">
        <v>38</v>
      </c>
      <c r="S12" s="18" t="s">
        <v>39</v>
      </c>
      <c r="T12" s="18" t="s">
        <v>38</v>
      </c>
      <c r="U12" s="18" t="s">
        <v>38</v>
      </c>
      <c r="V12" s="18" t="s">
        <v>38</v>
      </c>
      <c r="W12" s="18" t="s">
        <v>38</v>
      </c>
      <c r="X12" s="18" t="str">
        <f t="shared" si="3"/>
        <v>WO</v>
      </c>
      <c r="Y12" s="18" t="s">
        <v>38</v>
      </c>
      <c r="Z12" s="18" t="s">
        <v>39</v>
      </c>
      <c r="AA12" s="18" t="s">
        <v>38</v>
      </c>
      <c r="AB12" s="18" t="s">
        <v>38</v>
      </c>
      <c r="AC12" s="18" t="s">
        <v>38</v>
      </c>
      <c r="AD12" s="18" t="s">
        <v>38</v>
      </c>
      <c r="AE12" s="18" t="str">
        <f t="shared" si="3"/>
        <v>WO</v>
      </c>
      <c r="AF12" s="18" t="s">
        <v>38</v>
      </c>
      <c r="AG12" s="18" t="s">
        <v>39</v>
      </c>
      <c r="AH12" s="18" t="s">
        <v>38</v>
      </c>
      <c r="AI12" s="18" t="s">
        <v>38</v>
      </c>
      <c r="AJ12" s="18" t="s">
        <v>38</v>
      </c>
      <c r="AK12" s="18" t="s">
        <v>38</v>
      </c>
      <c r="AL12" s="18" t="str">
        <f t="shared" si="3"/>
        <v>WO</v>
      </c>
      <c r="AM12" s="18" t="s">
        <v>38</v>
      </c>
      <c r="AN12" s="19" t="str">
        <f t="shared" si="3"/>
        <v/>
      </c>
      <c r="AO12" s="32"/>
      <c r="AP12" s="34"/>
      <c r="AQ12" s="9">
        <v>4</v>
      </c>
      <c r="AR12" s="9">
        <v>1004</v>
      </c>
      <c r="AS12" s="9" t="str">
        <f t="shared" si="8"/>
        <v>June</v>
      </c>
      <c r="AT12" s="15" t="s">
        <v>6</v>
      </c>
      <c r="AU12" s="28">
        <f t="shared" si="9"/>
        <v>21</v>
      </c>
      <c r="AV12">
        <f t="shared" si="4"/>
        <v>4</v>
      </c>
      <c r="AW12">
        <f t="shared" si="5"/>
        <v>0</v>
      </c>
      <c r="AX12">
        <f t="shared" si="10"/>
        <v>5</v>
      </c>
      <c r="AY12" s="29">
        <f t="shared" si="11"/>
        <v>30</v>
      </c>
      <c r="AZ12" s="29">
        <f t="shared" si="12"/>
        <v>26</v>
      </c>
      <c r="BA12" s="30">
        <f t="shared" ca="1" si="13"/>
        <v>21751</v>
      </c>
      <c r="BB12" s="30">
        <f t="shared" ca="1" si="14"/>
        <v>836.57692307692309</v>
      </c>
      <c r="BC12" s="30">
        <f t="shared" ca="1" si="15"/>
        <v>3346.3076923076924</v>
      </c>
      <c r="BD12" s="30">
        <f t="shared" ca="1" si="16"/>
        <v>18404.692307692309</v>
      </c>
      <c r="BF12" s="34"/>
      <c r="BG12" s="31"/>
      <c r="BH12" s="31"/>
      <c r="BI12" s="31"/>
      <c r="BJ12" s="31"/>
    </row>
    <row r="13" spans="1:62" x14ac:dyDescent="0.3">
      <c r="C13" s="31"/>
      <c r="D13" s="31"/>
      <c r="E13" s="32"/>
      <c r="F13" s="8">
        <v>5</v>
      </c>
      <c r="G13" s="9">
        <v>1005</v>
      </c>
      <c r="H13" s="15" t="s">
        <v>7</v>
      </c>
      <c r="I13" s="17">
        <f t="shared" si="6"/>
        <v>5</v>
      </c>
      <c r="J13" s="18" t="str">
        <f t="shared" si="7"/>
        <v>WO</v>
      </c>
      <c r="K13" s="18" t="s">
        <v>38</v>
      </c>
      <c r="L13" s="18" t="s">
        <v>38</v>
      </c>
      <c r="M13" s="18" t="s">
        <v>39</v>
      </c>
      <c r="N13" s="18" t="s">
        <v>38</v>
      </c>
      <c r="O13" s="18" t="s">
        <v>39</v>
      </c>
      <c r="P13" s="18" t="s">
        <v>39</v>
      </c>
      <c r="Q13" s="18" t="str">
        <f t="shared" si="3"/>
        <v>WO</v>
      </c>
      <c r="R13" s="18" t="s">
        <v>38</v>
      </c>
      <c r="S13" s="18" t="s">
        <v>38</v>
      </c>
      <c r="T13" s="18" t="s">
        <v>39</v>
      </c>
      <c r="U13" s="18" t="s">
        <v>38</v>
      </c>
      <c r="V13" s="18" t="s">
        <v>39</v>
      </c>
      <c r="W13" s="18" t="s">
        <v>39</v>
      </c>
      <c r="X13" s="18" t="str">
        <f t="shared" si="3"/>
        <v>WO</v>
      </c>
      <c r="Y13" s="18" t="s">
        <v>38</v>
      </c>
      <c r="Z13" s="18" t="s">
        <v>38</v>
      </c>
      <c r="AA13" s="18" t="s">
        <v>39</v>
      </c>
      <c r="AB13" s="18" t="s">
        <v>38</v>
      </c>
      <c r="AC13" s="18" t="s">
        <v>39</v>
      </c>
      <c r="AD13" s="18" t="s">
        <v>39</v>
      </c>
      <c r="AE13" s="18" t="str">
        <f t="shared" si="3"/>
        <v>WO</v>
      </c>
      <c r="AF13" s="18" t="s">
        <v>38</v>
      </c>
      <c r="AG13" s="18" t="s">
        <v>38</v>
      </c>
      <c r="AH13" s="18" t="s">
        <v>39</v>
      </c>
      <c r="AI13" s="18" t="s">
        <v>38</v>
      </c>
      <c r="AJ13" s="18" t="s">
        <v>39</v>
      </c>
      <c r="AK13" s="18" t="s">
        <v>39</v>
      </c>
      <c r="AL13" s="18" t="str">
        <f t="shared" si="3"/>
        <v>WO</v>
      </c>
      <c r="AM13" s="18" t="s">
        <v>39</v>
      </c>
      <c r="AN13" s="19" t="str">
        <f t="shared" si="3"/>
        <v/>
      </c>
      <c r="AO13" s="32"/>
      <c r="AP13" s="34"/>
      <c r="AQ13" s="9">
        <v>5</v>
      </c>
      <c r="AR13" s="9">
        <v>1005</v>
      </c>
      <c r="AS13" s="9" t="str">
        <f t="shared" si="8"/>
        <v>June</v>
      </c>
      <c r="AT13" s="15" t="s">
        <v>7</v>
      </c>
      <c r="AU13" s="28">
        <f t="shared" si="9"/>
        <v>12</v>
      </c>
      <c r="AV13">
        <f t="shared" si="4"/>
        <v>13</v>
      </c>
      <c r="AW13">
        <f t="shared" si="5"/>
        <v>0</v>
      </c>
      <c r="AX13">
        <f t="shared" si="10"/>
        <v>5</v>
      </c>
      <c r="AY13" s="29">
        <f t="shared" si="11"/>
        <v>30</v>
      </c>
      <c r="AZ13" s="29">
        <f t="shared" si="12"/>
        <v>17</v>
      </c>
      <c r="BA13" s="30">
        <f t="shared" ca="1" si="13"/>
        <v>10053</v>
      </c>
      <c r="BB13" s="30">
        <f t="shared" ca="1" si="14"/>
        <v>591.35294117647061</v>
      </c>
      <c r="BC13" s="30">
        <f t="shared" ca="1" si="15"/>
        <v>7687.588235294118</v>
      </c>
      <c r="BD13" s="30">
        <f t="shared" ca="1" si="16"/>
        <v>2365.411764705882</v>
      </c>
      <c r="BF13" s="34"/>
      <c r="BG13" s="31"/>
      <c r="BH13" s="31"/>
      <c r="BI13" s="31"/>
      <c r="BJ13" s="31"/>
    </row>
    <row r="14" spans="1:62" x14ac:dyDescent="0.3">
      <c r="C14" s="31"/>
      <c r="D14" s="31"/>
      <c r="E14" s="32"/>
      <c r="F14" s="8">
        <v>6</v>
      </c>
      <c r="G14" s="9">
        <v>1006</v>
      </c>
      <c r="H14" s="15" t="s">
        <v>8</v>
      </c>
      <c r="I14" s="17">
        <f t="shared" si="6"/>
        <v>5</v>
      </c>
      <c r="J14" s="18" t="str">
        <f t="shared" si="7"/>
        <v>WO</v>
      </c>
      <c r="K14" s="18" t="s">
        <v>38</v>
      </c>
      <c r="L14" s="18" t="s">
        <v>38</v>
      </c>
      <c r="M14" s="18" t="s">
        <v>39</v>
      </c>
      <c r="N14" s="18" t="s">
        <v>38</v>
      </c>
      <c r="O14" s="18" t="s">
        <v>39</v>
      </c>
      <c r="P14" s="18" t="s">
        <v>39</v>
      </c>
      <c r="Q14" s="18" t="str">
        <f t="shared" si="3"/>
        <v>WO</v>
      </c>
      <c r="R14" s="18" t="s">
        <v>38</v>
      </c>
      <c r="S14" s="18" t="s">
        <v>38</v>
      </c>
      <c r="T14" s="18" t="s">
        <v>39</v>
      </c>
      <c r="U14" s="18" t="s">
        <v>38</v>
      </c>
      <c r="V14" s="18" t="s">
        <v>39</v>
      </c>
      <c r="W14" s="18" t="s">
        <v>39</v>
      </c>
      <c r="X14" s="18" t="str">
        <f t="shared" si="3"/>
        <v>WO</v>
      </c>
      <c r="Y14" s="18" t="s">
        <v>38</v>
      </c>
      <c r="Z14" s="18" t="s">
        <v>38</v>
      </c>
      <c r="AA14" s="18" t="s">
        <v>39</v>
      </c>
      <c r="AB14" s="18" t="s">
        <v>38</v>
      </c>
      <c r="AC14" s="18" t="s">
        <v>39</v>
      </c>
      <c r="AD14" s="18" t="s">
        <v>39</v>
      </c>
      <c r="AE14" s="18" t="str">
        <f t="shared" si="3"/>
        <v>WO</v>
      </c>
      <c r="AF14" s="18" t="s">
        <v>38</v>
      </c>
      <c r="AG14" s="18" t="s">
        <v>38</v>
      </c>
      <c r="AH14" s="18" t="s">
        <v>39</v>
      </c>
      <c r="AI14" s="18" t="s">
        <v>38</v>
      </c>
      <c r="AJ14" s="18" t="s">
        <v>39</v>
      </c>
      <c r="AK14" s="18" t="s">
        <v>39</v>
      </c>
      <c r="AL14" s="18" t="str">
        <f t="shared" si="3"/>
        <v>WO</v>
      </c>
      <c r="AM14" s="18" t="s">
        <v>39</v>
      </c>
      <c r="AN14" s="19" t="str">
        <f t="shared" si="3"/>
        <v/>
      </c>
      <c r="AO14" s="32"/>
      <c r="AP14" s="34"/>
      <c r="AQ14" s="9">
        <v>6</v>
      </c>
      <c r="AR14" s="9">
        <v>1006</v>
      </c>
      <c r="AS14" s="9" t="str">
        <f t="shared" si="8"/>
        <v>June</v>
      </c>
      <c r="AT14" s="15" t="s">
        <v>8</v>
      </c>
      <c r="AU14" s="28">
        <f t="shared" si="9"/>
        <v>12</v>
      </c>
      <c r="AV14">
        <f t="shared" si="4"/>
        <v>13</v>
      </c>
      <c r="AW14">
        <f t="shared" si="5"/>
        <v>0</v>
      </c>
      <c r="AX14">
        <f t="shared" si="10"/>
        <v>5</v>
      </c>
      <c r="AY14" s="29">
        <f t="shared" si="11"/>
        <v>30</v>
      </c>
      <c r="AZ14" s="29">
        <f t="shared" si="12"/>
        <v>17</v>
      </c>
      <c r="BA14" s="30">
        <f t="shared" ca="1" si="13"/>
        <v>40439</v>
      </c>
      <c r="BB14" s="30">
        <f t="shared" ca="1" si="14"/>
        <v>2378.7647058823532</v>
      </c>
      <c r="BC14" s="30">
        <f t="shared" ca="1" si="15"/>
        <v>30923.941176470591</v>
      </c>
      <c r="BD14" s="30">
        <f t="shared" ca="1" si="16"/>
        <v>9515.058823529409</v>
      </c>
      <c r="BF14" s="34"/>
      <c r="BG14" s="31"/>
      <c r="BH14" s="31"/>
      <c r="BI14" s="31"/>
      <c r="BJ14" s="31"/>
    </row>
    <row r="15" spans="1:62" x14ac:dyDescent="0.3">
      <c r="C15" s="31"/>
      <c r="D15" s="31"/>
      <c r="E15" s="32"/>
      <c r="F15" s="8">
        <v>7</v>
      </c>
      <c r="G15" s="9">
        <v>1007</v>
      </c>
      <c r="H15" s="15" t="s">
        <v>9</v>
      </c>
      <c r="I15" s="17">
        <f t="shared" si="6"/>
        <v>5</v>
      </c>
      <c r="J15" s="18" t="str">
        <f t="shared" si="7"/>
        <v>WO</v>
      </c>
      <c r="K15" s="18" t="s">
        <v>38</v>
      </c>
      <c r="L15" s="18" t="s">
        <v>38</v>
      </c>
      <c r="M15" s="18" t="s">
        <v>38</v>
      </c>
      <c r="N15" s="18" t="s">
        <v>38</v>
      </c>
      <c r="O15" s="18" t="s">
        <v>38</v>
      </c>
      <c r="P15" s="18" t="s">
        <v>38</v>
      </c>
      <c r="Q15" s="18" t="str">
        <f t="shared" si="3"/>
        <v>WO</v>
      </c>
      <c r="R15" s="18" t="s">
        <v>38</v>
      </c>
      <c r="S15" s="18" t="s">
        <v>38</v>
      </c>
      <c r="T15" s="18" t="s">
        <v>38</v>
      </c>
      <c r="U15" s="18" t="s">
        <v>38</v>
      </c>
      <c r="V15" s="18" t="s">
        <v>38</v>
      </c>
      <c r="W15" s="18" t="s">
        <v>38</v>
      </c>
      <c r="X15" s="18" t="str">
        <f t="shared" si="3"/>
        <v>WO</v>
      </c>
      <c r="Y15" s="18" t="s">
        <v>38</v>
      </c>
      <c r="Z15" s="18" t="s">
        <v>38</v>
      </c>
      <c r="AA15" s="18" t="s">
        <v>38</v>
      </c>
      <c r="AB15" s="18" t="s">
        <v>38</v>
      </c>
      <c r="AC15" s="18" t="s">
        <v>38</v>
      </c>
      <c r="AD15" s="18" t="s">
        <v>38</v>
      </c>
      <c r="AE15" s="18" t="str">
        <f t="shared" si="3"/>
        <v>WO</v>
      </c>
      <c r="AF15" s="18" t="s">
        <v>38</v>
      </c>
      <c r="AG15" s="18" t="s">
        <v>38</v>
      </c>
      <c r="AH15" s="18" t="s">
        <v>38</v>
      </c>
      <c r="AI15" s="18" t="s">
        <v>38</v>
      </c>
      <c r="AJ15" s="18" t="s">
        <v>38</v>
      </c>
      <c r="AK15" s="18" t="s">
        <v>38</v>
      </c>
      <c r="AL15" s="18" t="str">
        <f t="shared" si="3"/>
        <v>WO</v>
      </c>
      <c r="AM15" s="18" t="s">
        <v>38</v>
      </c>
      <c r="AN15" s="19" t="str">
        <f t="shared" si="3"/>
        <v/>
      </c>
      <c r="AO15" s="32"/>
      <c r="AP15" s="34"/>
      <c r="AQ15" s="9">
        <v>7</v>
      </c>
      <c r="AR15" s="9">
        <v>1007</v>
      </c>
      <c r="AS15" s="9" t="str">
        <f t="shared" si="8"/>
        <v>June</v>
      </c>
      <c r="AT15" s="15" t="s">
        <v>9</v>
      </c>
      <c r="AU15" s="28">
        <f t="shared" si="9"/>
        <v>25</v>
      </c>
      <c r="AV15">
        <f t="shared" si="4"/>
        <v>0</v>
      </c>
      <c r="AW15">
        <f t="shared" si="5"/>
        <v>0</v>
      </c>
      <c r="AX15">
        <f t="shared" si="10"/>
        <v>5</v>
      </c>
      <c r="AY15" s="29">
        <f t="shared" si="11"/>
        <v>30</v>
      </c>
      <c r="AZ15" s="29">
        <f t="shared" si="12"/>
        <v>30</v>
      </c>
      <c r="BA15" s="30">
        <f t="shared" ca="1" si="13"/>
        <v>35789</v>
      </c>
      <c r="BB15" s="30">
        <f t="shared" ca="1" si="14"/>
        <v>1192.9666666666667</v>
      </c>
      <c r="BC15" s="30">
        <f t="shared" ca="1" si="15"/>
        <v>0</v>
      </c>
      <c r="BD15" s="30">
        <f t="shared" ca="1" si="16"/>
        <v>35789</v>
      </c>
      <c r="BF15" s="34"/>
      <c r="BG15" s="31"/>
      <c r="BH15" s="31"/>
      <c r="BI15" s="31"/>
      <c r="BJ15" s="31"/>
    </row>
    <row r="16" spans="1:62" x14ac:dyDescent="0.3">
      <c r="C16" s="31"/>
      <c r="D16" s="31"/>
      <c r="E16" s="32"/>
      <c r="F16" s="8">
        <v>8</v>
      </c>
      <c r="G16" s="9">
        <v>1008</v>
      </c>
      <c r="H16" s="15" t="s">
        <v>10</v>
      </c>
      <c r="I16" s="17">
        <f t="shared" si="6"/>
        <v>5</v>
      </c>
      <c r="J16" s="18" t="str">
        <f t="shared" si="7"/>
        <v>WO</v>
      </c>
      <c r="K16" s="18" t="s">
        <v>38</v>
      </c>
      <c r="L16" s="18" t="s">
        <v>39</v>
      </c>
      <c r="M16" s="18" t="s">
        <v>38</v>
      </c>
      <c r="N16" s="18" t="s">
        <v>38</v>
      </c>
      <c r="O16" s="18" t="s">
        <v>38</v>
      </c>
      <c r="P16" s="18" t="s">
        <v>38</v>
      </c>
      <c r="Q16" s="18" t="str">
        <f t="shared" si="3"/>
        <v>WO</v>
      </c>
      <c r="R16" s="18" t="s">
        <v>38</v>
      </c>
      <c r="S16" s="18" t="s">
        <v>39</v>
      </c>
      <c r="T16" s="18" t="s">
        <v>38</v>
      </c>
      <c r="U16" s="18" t="s">
        <v>38</v>
      </c>
      <c r="V16" s="18" t="s">
        <v>38</v>
      </c>
      <c r="W16" s="18" t="s">
        <v>38</v>
      </c>
      <c r="X16" s="18" t="str">
        <f t="shared" si="3"/>
        <v>WO</v>
      </c>
      <c r="Y16" s="18" t="s">
        <v>38</v>
      </c>
      <c r="Z16" s="18" t="s">
        <v>39</v>
      </c>
      <c r="AA16" s="18" t="s">
        <v>38</v>
      </c>
      <c r="AB16" s="18" t="s">
        <v>38</v>
      </c>
      <c r="AC16" s="18" t="s">
        <v>38</v>
      </c>
      <c r="AD16" s="18" t="s">
        <v>38</v>
      </c>
      <c r="AE16" s="18" t="str">
        <f t="shared" si="3"/>
        <v>WO</v>
      </c>
      <c r="AF16" s="18" t="s">
        <v>38</v>
      </c>
      <c r="AG16" s="18" t="s">
        <v>39</v>
      </c>
      <c r="AH16" s="18" t="s">
        <v>38</v>
      </c>
      <c r="AI16" s="18" t="s">
        <v>38</v>
      </c>
      <c r="AJ16" s="18" t="s">
        <v>38</v>
      </c>
      <c r="AK16" s="18" t="s">
        <v>38</v>
      </c>
      <c r="AL16" s="18" t="str">
        <f t="shared" si="3"/>
        <v>WO</v>
      </c>
      <c r="AM16" s="18" t="s">
        <v>38</v>
      </c>
      <c r="AN16" s="19" t="str">
        <f t="shared" si="3"/>
        <v/>
      </c>
      <c r="AO16" s="32"/>
      <c r="AP16" s="34"/>
      <c r="AQ16" s="9">
        <v>8</v>
      </c>
      <c r="AR16" s="9">
        <v>1008</v>
      </c>
      <c r="AS16" s="9" t="str">
        <f t="shared" si="8"/>
        <v>June</v>
      </c>
      <c r="AT16" s="15" t="s">
        <v>10</v>
      </c>
      <c r="AU16" s="28">
        <f t="shared" si="9"/>
        <v>21</v>
      </c>
      <c r="AV16">
        <f t="shared" si="4"/>
        <v>4</v>
      </c>
      <c r="AW16">
        <f t="shared" si="5"/>
        <v>0</v>
      </c>
      <c r="AX16">
        <f t="shared" si="10"/>
        <v>5</v>
      </c>
      <c r="AY16" s="29">
        <f t="shared" si="11"/>
        <v>30</v>
      </c>
      <c r="AZ16" s="29">
        <f t="shared" si="12"/>
        <v>26</v>
      </c>
      <c r="BA16" s="30">
        <f t="shared" ca="1" si="13"/>
        <v>39826</v>
      </c>
      <c r="BB16" s="30">
        <f t="shared" ca="1" si="14"/>
        <v>1531.7692307692307</v>
      </c>
      <c r="BC16" s="30">
        <f t="shared" ca="1" si="15"/>
        <v>6127.0769230769229</v>
      </c>
      <c r="BD16" s="30">
        <f t="shared" ca="1" si="16"/>
        <v>33698.923076923078</v>
      </c>
      <c r="BF16" s="34"/>
      <c r="BG16" s="31"/>
      <c r="BH16" s="31"/>
      <c r="BI16" s="31"/>
      <c r="BJ16" s="31"/>
    </row>
    <row r="17" spans="1:62" x14ac:dyDescent="0.3">
      <c r="C17" s="31"/>
      <c r="D17" s="31"/>
      <c r="E17" s="32"/>
      <c r="F17" s="8">
        <v>9</v>
      </c>
      <c r="G17" s="9">
        <v>1009</v>
      </c>
      <c r="H17" s="15" t="s">
        <v>11</v>
      </c>
      <c r="I17" s="17">
        <f t="shared" si="6"/>
        <v>5</v>
      </c>
      <c r="J17" s="18" t="str">
        <f t="shared" si="7"/>
        <v>WO</v>
      </c>
      <c r="K17" s="18" t="s">
        <v>38</v>
      </c>
      <c r="L17" s="18" t="s">
        <v>38</v>
      </c>
      <c r="M17" s="18" t="s">
        <v>38</v>
      </c>
      <c r="N17" s="18" t="s">
        <v>38</v>
      </c>
      <c r="O17" s="18" t="s">
        <v>38</v>
      </c>
      <c r="P17" s="18" t="s">
        <v>38</v>
      </c>
      <c r="Q17" s="18" t="str">
        <f t="shared" si="3"/>
        <v>WO</v>
      </c>
      <c r="R17" s="18" t="s">
        <v>38</v>
      </c>
      <c r="S17" s="18" t="s">
        <v>38</v>
      </c>
      <c r="T17" s="18" t="s">
        <v>38</v>
      </c>
      <c r="U17" s="18" t="s">
        <v>38</v>
      </c>
      <c r="V17" s="18" t="s">
        <v>38</v>
      </c>
      <c r="W17" s="18" t="s">
        <v>38</v>
      </c>
      <c r="X17" s="18" t="str">
        <f t="shared" si="3"/>
        <v>WO</v>
      </c>
      <c r="Y17" s="18" t="s">
        <v>38</v>
      </c>
      <c r="Z17" s="18" t="s">
        <v>38</v>
      </c>
      <c r="AA17" s="18" t="s">
        <v>38</v>
      </c>
      <c r="AB17" s="18" t="s">
        <v>38</v>
      </c>
      <c r="AC17" s="18" t="s">
        <v>38</v>
      </c>
      <c r="AD17" s="18" t="s">
        <v>38</v>
      </c>
      <c r="AE17" s="18" t="str">
        <f t="shared" ref="AE17:AN28" si="17">IF(AE$7="Sun","WO","")</f>
        <v>WO</v>
      </c>
      <c r="AF17" s="18" t="s">
        <v>38</v>
      </c>
      <c r="AG17" s="18" t="s">
        <v>38</v>
      </c>
      <c r="AH17" s="18" t="s">
        <v>38</v>
      </c>
      <c r="AI17" s="18" t="s">
        <v>38</v>
      </c>
      <c r="AJ17" s="18" t="s">
        <v>38</v>
      </c>
      <c r="AK17" s="18" t="s">
        <v>38</v>
      </c>
      <c r="AL17" s="18" t="str">
        <f t="shared" si="17"/>
        <v>WO</v>
      </c>
      <c r="AM17" s="18" t="s">
        <v>38</v>
      </c>
      <c r="AN17" s="19" t="str">
        <f t="shared" si="17"/>
        <v/>
      </c>
      <c r="AO17" s="32"/>
      <c r="AP17" s="34"/>
      <c r="AQ17" s="9">
        <v>9</v>
      </c>
      <c r="AR17" s="9">
        <v>1009</v>
      </c>
      <c r="AS17" s="9" t="str">
        <f t="shared" si="8"/>
        <v>June</v>
      </c>
      <c r="AT17" s="15" t="s">
        <v>11</v>
      </c>
      <c r="AU17" s="28">
        <f t="shared" si="9"/>
        <v>25</v>
      </c>
      <c r="AV17">
        <f t="shared" si="4"/>
        <v>0</v>
      </c>
      <c r="AW17">
        <f t="shared" si="5"/>
        <v>0</v>
      </c>
      <c r="AX17">
        <f t="shared" si="10"/>
        <v>5</v>
      </c>
      <c r="AY17" s="29">
        <f t="shared" si="11"/>
        <v>30</v>
      </c>
      <c r="AZ17" s="29">
        <f t="shared" si="12"/>
        <v>30</v>
      </c>
      <c r="BA17" s="30">
        <f t="shared" ca="1" si="13"/>
        <v>38572</v>
      </c>
      <c r="BB17" s="30">
        <f t="shared" ca="1" si="14"/>
        <v>1285.7333333333333</v>
      </c>
      <c r="BC17" s="30">
        <f t="shared" ca="1" si="15"/>
        <v>0</v>
      </c>
      <c r="BD17" s="30">
        <f t="shared" ca="1" si="16"/>
        <v>38572</v>
      </c>
      <c r="BF17" s="34"/>
      <c r="BG17" s="31"/>
      <c r="BH17" s="31"/>
      <c r="BI17" s="31"/>
      <c r="BJ17" s="31"/>
    </row>
    <row r="18" spans="1:62" x14ac:dyDescent="0.3">
      <c r="C18" s="31"/>
      <c r="D18" s="31"/>
      <c r="E18" s="32"/>
      <c r="F18" s="8">
        <v>10</v>
      </c>
      <c r="G18" s="9">
        <v>1010</v>
      </c>
      <c r="H18" s="15" t="s">
        <v>12</v>
      </c>
      <c r="I18" s="17">
        <f t="shared" si="6"/>
        <v>5</v>
      </c>
      <c r="J18" s="18" t="str">
        <f t="shared" si="7"/>
        <v>WO</v>
      </c>
      <c r="K18" s="18" t="s">
        <v>38</v>
      </c>
      <c r="L18" s="18" t="s">
        <v>38</v>
      </c>
      <c r="M18" s="18" t="s">
        <v>39</v>
      </c>
      <c r="N18" s="18" t="s">
        <v>38</v>
      </c>
      <c r="O18" s="18" t="s">
        <v>39</v>
      </c>
      <c r="P18" s="18" t="s">
        <v>39</v>
      </c>
      <c r="Q18" s="18" t="str">
        <f t="shared" si="7"/>
        <v>WO</v>
      </c>
      <c r="R18" s="18" t="s">
        <v>38</v>
      </c>
      <c r="S18" s="18" t="s">
        <v>38</v>
      </c>
      <c r="T18" s="18" t="s">
        <v>39</v>
      </c>
      <c r="U18" s="18" t="s">
        <v>38</v>
      </c>
      <c r="V18" s="18" t="s">
        <v>39</v>
      </c>
      <c r="W18" s="18" t="s">
        <v>39</v>
      </c>
      <c r="X18" s="18" t="str">
        <f t="shared" si="7"/>
        <v>WO</v>
      </c>
      <c r="Y18" s="18" t="s">
        <v>38</v>
      </c>
      <c r="Z18" s="18" t="s">
        <v>38</v>
      </c>
      <c r="AA18" s="18" t="s">
        <v>39</v>
      </c>
      <c r="AB18" s="18" t="s">
        <v>38</v>
      </c>
      <c r="AC18" s="18" t="s">
        <v>39</v>
      </c>
      <c r="AD18" s="18" t="s">
        <v>39</v>
      </c>
      <c r="AE18" s="18" t="str">
        <f t="shared" si="17"/>
        <v>WO</v>
      </c>
      <c r="AF18" s="18" t="s">
        <v>38</v>
      </c>
      <c r="AG18" s="18" t="s">
        <v>38</v>
      </c>
      <c r="AH18" s="18" t="s">
        <v>39</v>
      </c>
      <c r="AI18" s="18" t="s">
        <v>38</v>
      </c>
      <c r="AJ18" s="18" t="s">
        <v>39</v>
      </c>
      <c r="AK18" s="18" t="s">
        <v>39</v>
      </c>
      <c r="AL18" s="18" t="str">
        <f t="shared" si="17"/>
        <v>WO</v>
      </c>
      <c r="AM18" s="18" t="s">
        <v>39</v>
      </c>
      <c r="AN18" s="19" t="str">
        <f t="shared" si="17"/>
        <v/>
      </c>
      <c r="AO18" s="32"/>
      <c r="AP18" s="34"/>
      <c r="AQ18" s="9">
        <v>10</v>
      </c>
      <c r="AR18" s="9">
        <v>1010</v>
      </c>
      <c r="AS18" s="9" t="str">
        <f t="shared" si="8"/>
        <v>June</v>
      </c>
      <c r="AT18" s="15" t="s">
        <v>12</v>
      </c>
      <c r="AU18" s="28">
        <f t="shared" si="9"/>
        <v>12</v>
      </c>
      <c r="AV18">
        <f t="shared" si="4"/>
        <v>13</v>
      </c>
      <c r="AW18">
        <f t="shared" si="5"/>
        <v>0</v>
      </c>
      <c r="AX18">
        <f t="shared" si="10"/>
        <v>5</v>
      </c>
      <c r="AY18" s="29">
        <f t="shared" si="11"/>
        <v>30</v>
      </c>
      <c r="AZ18" s="29">
        <f t="shared" si="12"/>
        <v>17</v>
      </c>
      <c r="BA18" s="30">
        <f t="shared" ca="1" si="13"/>
        <v>37339</v>
      </c>
      <c r="BB18" s="30">
        <f t="shared" ca="1" si="14"/>
        <v>2196.4117647058824</v>
      </c>
      <c r="BC18" s="30">
        <f t="shared" ca="1" si="15"/>
        <v>28553.352941176472</v>
      </c>
      <c r="BD18" s="30">
        <f t="shared" ca="1" si="16"/>
        <v>8785.6470588235279</v>
      </c>
      <c r="BF18" s="34"/>
      <c r="BG18" s="31"/>
      <c r="BH18" s="31"/>
      <c r="BI18" s="31"/>
      <c r="BJ18" s="31"/>
    </row>
    <row r="19" spans="1:62" x14ac:dyDescent="0.3">
      <c r="C19" s="31"/>
      <c r="D19" s="31"/>
      <c r="E19" s="32"/>
      <c r="F19" s="8">
        <v>11</v>
      </c>
      <c r="G19" s="9">
        <v>1011</v>
      </c>
      <c r="H19" s="15" t="s">
        <v>13</v>
      </c>
      <c r="I19" s="17">
        <f t="shared" si="6"/>
        <v>5</v>
      </c>
      <c r="J19" s="18" t="str">
        <f t="shared" si="7"/>
        <v>WO</v>
      </c>
      <c r="K19" s="18" t="s">
        <v>38</v>
      </c>
      <c r="L19" s="18" t="s">
        <v>38</v>
      </c>
      <c r="M19" s="18" t="s">
        <v>38</v>
      </c>
      <c r="N19" s="18" t="s">
        <v>38</v>
      </c>
      <c r="O19" s="18" t="s">
        <v>38</v>
      </c>
      <c r="P19" s="18" t="s">
        <v>38</v>
      </c>
      <c r="Q19" s="18" t="str">
        <f t="shared" si="7"/>
        <v>WO</v>
      </c>
      <c r="R19" s="18" t="s">
        <v>38</v>
      </c>
      <c r="S19" s="18" t="s">
        <v>38</v>
      </c>
      <c r="T19" s="18" t="s">
        <v>38</v>
      </c>
      <c r="U19" s="18" t="s">
        <v>38</v>
      </c>
      <c r="V19" s="18" t="s">
        <v>38</v>
      </c>
      <c r="W19" s="18" t="s">
        <v>38</v>
      </c>
      <c r="X19" s="18" t="str">
        <f t="shared" si="7"/>
        <v>WO</v>
      </c>
      <c r="Y19" s="18" t="s">
        <v>38</v>
      </c>
      <c r="Z19" s="18" t="s">
        <v>38</v>
      </c>
      <c r="AA19" s="18" t="s">
        <v>38</v>
      </c>
      <c r="AB19" s="18" t="s">
        <v>38</v>
      </c>
      <c r="AC19" s="18" t="s">
        <v>38</v>
      </c>
      <c r="AD19" s="18" t="s">
        <v>38</v>
      </c>
      <c r="AE19" s="18" t="str">
        <f t="shared" si="17"/>
        <v>WO</v>
      </c>
      <c r="AF19" s="18" t="s">
        <v>38</v>
      </c>
      <c r="AG19" s="18" t="s">
        <v>38</v>
      </c>
      <c r="AH19" s="18" t="s">
        <v>38</v>
      </c>
      <c r="AI19" s="18" t="s">
        <v>38</v>
      </c>
      <c r="AJ19" s="18" t="s">
        <v>38</v>
      </c>
      <c r="AK19" s="18" t="s">
        <v>38</v>
      </c>
      <c r="AL19" s="18" t="str">
        <f t="shared" si="17"/>
        <v>WO</v>
      </c>
      <c r="AM19" s="18" t="s">
        <v>38</v>
      </c>
      <c r="AN19" s="19" t="str">
        <f t="shared" si="17"/>
        <v/>
      </c>
      <c r="AO19" s="32"/>
      <c r="AP19" s="34"/>
      <c r="AQ19" s="9">
        <v>11</v>
      </c>
      <c r="AR19" s="9">
        <v>1011</v>
      </c>
      <c r="AS19" s="9" t="str">
        <f t="shared" si="8"/>
        <v>June</v>
      </c>
      <c r="AT19" s="15" t="s">
        <v>13</v>
      </c>
      <c r="AU19" s="28">
        <f t="shared" si="9"/>
        <v>25</v>
      </c>
      <c r="AV19">
        <f t="shared" si="4"/>
        <v>0</v>
      </c>
      <c r="AW19">
        <f t="shared" si="5"/>
        <v>0</v>
      </c>
      <c r="AX19">
        <f t="shared" si="10"/>
        <v>5</v>
      </c>
      <c r="AY19" s="29">
        <f t="shared" si="11"/>
        <v>30</v>
      </c>
      <c r="AZ19" s="29">
        <f t="shared" si="12"/>
        <v>30</v>
      </c>
      <c r="BA19" s="30">
        <f t="shared" ca="1" si="13"/>
        <v>42526</v>
      </c>
      <c r="BB19" s="30">
        <f t="shared" ca="1" si="14"/>
        <v>1417.5333333333333</v>
      </c>
      <c r="BC19" s="30">
        <f t="shared" ca="1" si="15"/>
        <v>0</v>
      </c>
      <c r="BD19" s="30">
        <f t="shared" ca="1" si="16"/>
        <v>42526</v>
      </c>
      <c r="BF19" s="34"/>
      <c r="BG19" s="31"/>
      <c r="BH19" s="31"/>
      <c r="BI19" s="31"/>
      <c r="BJ19" s="31"/>
    </row>
    <row r="20" spans="1:62" x14ac:dyDescent="0.3">
      <c r="C20" s="31"/>
      <c r="D20" s="31"/>
      <c r="E20" s="32"/>
      <c r="F20" s="8">
        <v>12</v>
      </c>
      <c r="G20" s="9">
        <v>1012</v>
      </c>
      <c r="H20" s="15" t="s">
        <v>14</v>
      </c>
      <c r="I20" s="17">
        <f t="shared" si="6"/>
        <v>5</v>
      </c>
      <c r="J20" s="18" t="str">
        <f t="shared" si="7"/>
        <v>WO</v>
      </c>
      <c r="K20" s="18" t="s">
        <v>38</v>
      </c>
      <c r="L20" s="18" t="s">
        <v>38</v>
      </c>
      <c r="M20" s="18" t="s">
        <v>38</v>
      </c>
      <c r="N20" s="18" t="s">
        <v>38</v>
      </c>
      <c r="O20" s="18" t="s">
        <v>38</v>
      </c>
      <c r="P20" s="18" t="s">
        <v>38</v>
      </c>
      <c r="Q20" s="18" t="str">
        <f t="shared" si="7"/>
        <v>WO</v>
      </c>
      <c r="R20" s="18" t="s">
        <v>38</v>
      </c>
      <c r="S20" s="18" t="s">
        <v>38</v>
      </c>
      <c r="T20" s="18" t="s">
        <v>38</v>
      </c>
      <c r="U20" s="18" t="s">
        <v>38</v>
      </c>
      <c r="V20" s="18" t="s">
        <v>38</v>
      </c>
      <c r="W20" s="18" t="s">
        <v>38</v>
      </c>
      <c r="X20" s="18" t="str">
        <f t="shared" si="7"/>
        <v>WO</v>
      </c>
      <c r="Y20" s="18" t="s">
        <v>38</v>
      </c>
      <c r="Z20" s="18" t="s">
        <v>38</v>
      </c>
      <c r="AA20" s="18" t="s">
        <v>38</v>
      </c>
      <c r="AB20" s="18" t="s">
        <v>38</v>
      </c>
      <c r="AC20" s="18" t="s">
        <v>38</v>
      </c>
      <c r="AD20" s="18" t="s">
        <v>38</v>
      </c>
      <c r="AE20" s="18" t="str">
        <f t="shared" si="17"/>
        <v>WO</v>
      </c>
      <c r="AF20" s="18" t="s">
        <v>38</v>
      </c>
      <c r="AG20" s="18" t="s">
        <v>38</v>
      </c>
      <c r="AH20" s="18" t="s">
        <v>38</v>
      </c>
      <c r="AI20" s="18" t="s">
        <v>38</v>
      </c>
      <c r="AJ20" s="18" t="s">
        <v>38</v>
      </c>
      <c r="AK20" s="18" t="s">
        <v>38</v>
      </c>
      <c r="AL20" s="18" t="str">
        <f t="shared" si="17"/>
        <v>WO</v>
      </c>
      <c r="AM20" s="18" t="s">
        <v>38</v>
      </c>
      <c r="AN20" s="19" t="str">
        <f t="shared" si="17"/>
        <v/>
      </c>
      <c r="AO20" s="32"/>
      <c r="AP20" s="34"/>
      <c r="AQ20" s="9">
        <v>12</v>
      </c>
      <c r="AR20" s="9">
        <v>1012</v>
      </c>
      <c r="AS20" s="9" t="str">
        <f t="shared" si="8"/>
        <v>June</v>
      </c>
      <c r="AT20" s="15" t="s">
        <v>14</v>
      </c>
      <c r="AU20" s="28">
        <f t="shared" si="9"/>
        <v>25</v>
      </c>
      <c r="AV20">
        <f t="shared" si="4"/>
        <v>0</v>
      </c>
      <c r="AW20">
        <f t="shared" si="5"/>
        <v>0</v>
      </c>
      <c r="AX20">
        <f t="shared" si="10"/>
        <v>5</v>
      </c>
      <c r="AY20" s="29">
        <f t="shared" si="11"/>
        <v>30</v>
      </c>
      <c r="AZ20" s="29">
        <f t="shared" si="12"/>
        <v>30</v>
      </c>
      <c r="BA20" s="30">
        <f t="shared" ca="1" si="13"/>
        <v>38343</v>
      </c>
      <c r="BB20" s="30">
        <f t="shared" ca="1" si="14"/>
        <v>1278.0999999999999</v>
      </c>
      <c r="BC20" s="30">
        <f t="shared" ca="1" si="15"/>
        <v>0</v>
      </c>
      <c r="BD20" s="30">
        <f t="shared" ca="1" si="16"/>
        <v>38343</v>
      </c>
      <c r="BF20" s="34"/>
      <c r="BG20" s="31"/>
      <c r="BH20" s="31"/>
      <c r="BI20" s="31"/>
      <c r="BJ20" s="31"/>
    </row>
    <row r="21" spans="1:62" x14ac:dyDescent="0.3">
      <c r="C21" s="31"/>
      <c r="D21" s="31"/>
      <c r="E21" s="32"/>
      <c r="F21" s="8">
        <v>13</v>
      </c>
      <c r="G21" s="9">
        <v>1013</v>
      </c>
      <c r="H21" s="15" t="s">
        <v>15</v>
      </c>
      <c r="I21" s="17">
        <f t="shared" si="6"/>
        <v>5</v>
      </c>
      <c r="J21" s="18" t="str">
        <f t="shared" si="7"/>
        <v>WO</v>
      </c>
      <c r="K21" s="18" t="s">
        <v>38</v>
      </c>
      <c r="L21" s="18" t="s">
        <v>39</v>
      </c>
      <c r="M21" s="18" t="s">
        <v>38</v>
      </c>
      <c r="N21" s="18" t="s">
        <v>38</v>
      </c>
      <c r="O21" s="18" t="s">
        <v>38</v>
      </c>
      <c r="P21" s="18" t="s">
        <v>38</v>
      </c>
      <c r="Q21" s="18" t="str">
        <f t="shared" si="7"/>
        <v>WO</v>
      </c>
      <c r="R21" s="18" t="s">
        <v>38</v>
      </c>
      <c r="S21" s="18" t="s">
        <v>39</v>
      </c>
      <c r="T21" s="18" t="s">
        <v>38</v>
      </c>
      <c r="U21" s="18" t="s">
        <v>38</v>
      </c>
      <c r="V21" s="18" t="s">
        <v>38</v>
      </c>
      <c r="W21" s="18" t="s">
        <v>38</v>
      </c>
      <c r="X21" s="18" t="str">
        <f t="shared" si="7"/>
        <v>WO</v>
      </c>
      <c r="Y21" s="18" t="s">
        <v>38</v>
      </c>
      <c r="Z21" s="18" t="s">
        <v>39</v>
      </c>
      <c r="AA21" s="18" t="s">
        <v>38</v>
      </c>
      <c r="AB21" s="18" t="s">
        <v>38</v>
      </c>
      <c r="AC21" s="18" t="s">
        <v>38</v>
      </c>
      <c r="AD21" s="18" t="s">
        <v>38</v>
      </c>
      <c r="AE21" s="18" t="str">
        <f t="shared" si="17"/>
        <v>WO</v>
      </c>
      <c r="AF21" s="18" t="s">
        <v>38</v>
      </c>
      <c r="AG21" s="18" t="s">
        <v>39</v>
      </c>
      <c r="AH21" s="18" t="s">
        <v>38</v>
      </c>
      <c r="AI21" s="18" t="s">
        <v>38</v>
      </c>
      <c r="AJ21" s="18" t="s">
        <v>38</v>
      </c>
      <c r="AK21" s="18" t="s">
        <v>38</v>
      </c>
      <c r="AL21" s="18" t="str">
        <f t="shared" si="17"/>
        <v>WO</v>
      </c>
      <c r="AM21" s="18" t="s">
        <v>38</v>
      </c>
      <c r="AN21" s="19" t="str">
        <f t="shared" si="17"/>
        <v/>
      </c>
      <c r="AO21" s="32"/>
      <c r="AP21" s="34"/>
      <c r="AQ21" s="9">
        <v>13</v>
      </c>
      <c r="AR21" s="9">
        <v>1013</v>
      </c>
      <c r="AS21" s="9" t="str">
        <f t="shared" si="8"/>
        <v>June</v>
      </c>
      <c r="AT21" s="15" t="s">
        <v>15</v>
      </c>
      <c r="AU21" s="28">
        <f t="shared" si="9"/>
        <v>21</v>
      </c>
      <c r="AV21">
        <f t="shared" si="4"/>
        <v>4</v>
      </c>
      <c r="AW21">
        <f t="shared" si="5"/>
        <v>0</v>
      </c>
      <c r="AX21">
        <f t="shared" si="10"/>
        <v>5</v>
      </c>
      <c r="AY21" s="29">
        <f t="shared" si="11"/>
        <v>30</v>
      </c>
      <c r="AZ21" s="29">
        <f t="shared" si="12"/>
        <v>26</v>
      </c>
      <c r="BA21" s="30">
        <f t="shared" ca="1" si="13"/>
        <v>27087</v>
      </c>
      <c r="BB21" s="30">
        <f t="shared" ca="1" si="14"/>
        <v>1041.8076923076924</v>
      </c>
      <c r="BC21" s="30">
        <f t="shared" ca="1" si="15"/>
        <v>4167.2307692307695</v>
      </c>
      <c r="BD21" s="30">
        <f t="shared" ca="1" si="16"/>
        <v>22919.76923076923</v>
      </c>
      <c r="BF21" s="34"/>
      <c r="BG21" s="31"/>
      <c r="BH21" s="31"/>
      <c r="BI21" s="31"/>
      <c r="BJ21" s="31"/>
    </row>
    <row r="22" spans="1:62" x14ac:dyDescent="0.3">
      <c r="C22" s="31"/>
      <c r="D22" s="31"/>
      <c r="E22" s="32"/>
      <c r="F22" s="8">
        <v>14</v>
      </c>
      <c r="G22" s="9">
        <v>1014</v>
      </c>
      <c r="H22" s="15" t="s">
        <v>16</v>
      </c>
      <c r="I22" s="17">
        <f t="shared" si="6"/>
        <v>5</v>
      </c>
      <c r="J22" s="18" t="str">
        <f t="shared" si="7"/>
        <v>WO</v>
      </c>
      <c r="K22" s="18" t="s">
        <v>38</v>
      </c>
      <c r="L22" s="18" t="s">
        <v>38</v>
      </c>
      <c r="M22" s="18" t="s">
        <v>38</v>
      </c>
      <c r="N22" s="18" t="s">
        <v>38</v>
      </c>
      <c r="O22" s="18" t="s">
        <v>38</v>
      </c>
      <c r="P22" s="18" t="s">
        <v>38</v>
      </c>
      <c r="Q22" s="18" t="str">
        <f t="shared" si="7"/>
        <v>WO</v>
      </c>
      <c r="R22" s="18" t="s">
        <v>38</v>
      </c>
      <c r="S22" s="18" t="s">
        <v>38</v>
      </c>
      <c r="T22" s="18" t="s">
        <v>38</v>
      </c>
      <c r="U22" s="18" t="s">
        <v>38</v>
      </c>
      <c r="V22" s="18" t="s">
        <v>38</v>
      </c>
      <c r="W22" s="18" t="s">
        <v>38</v>
      </c>
      <c r="X22" s="18" t="str">
        <f t="shared" si="7"/>
        <v>WO</v>
      </c>
      <c r="Y22" s="18" t="s">
        <v>38</v>
      </c>
      <c r="Z22" s="18" t="s">
        <v>38</v>
      </c>
      <c r="AA22" s="18" t="s">
        <v>38</v>
      </c>
      <c r="AB22" s="18" t="s">
        <v>38</v>
      </c>
      <c r="AC22" s="18" t="s">
        <v>38</v>
      </c>
      <c r="AD22" s="18" t="s">
        <v>38</v>
      </c>
      <c r="AE22" s="18" t="str">
        <f t="shared" si="17"/>
        <v>WO</v>
      </c>
      <c r="AF22" s="18" t="s">
        <v>38</v>
      </c>
      <c r="AG22" s="18" t="s">
        <v>38</v>
      </c>
      <c r="AH22" s="18" t="s">
        <v>38</v>
      </c>
      <c r="AI22" s="18" t="s">
        <v>38</v>
      </c>
      <c r="AJ22" s="18" t="s">
        <v>38</v>
      </c>
      <c r="AK22" s="18" t="s">
        <v>38</v>
      </c>
      <c r="AL22" s="18" t="str">
        <f t="shared" si="17"/>
        <v>WO</v>
      </c>
      <c r="AM22" s="18" t="s">
        <v>38</v>
      </c>
      <c r="AN22" s="19" t="str">
        <f t="shared" si="17"/>
        <v/>
      </c>
      <c r="AO22" s="32"/>
      <c r="AP22" s="34"/>
      <c r="AQ22" s="9">
        <v>14</v>
      </c>
      <c r="AR22" s="9">
        <v>1014</v>
      </c>
      <c r="AS22" s="9" t="str">
        <f t="shared" si="8"/>
        <v>June</v>
      </c>
      <c r="AT22" s="15" t="s">
        <v>16</v>
      </c>
      <c r="AU22" s="28">
        <f t="shared" si="9"/>
        <v>25</v>
      </c>
      <c r="AV22">
        <f t="shared" si="4"/>
        <v>0</v>
      </c>
      <c r="AW22">
        <f t="shared" si="5"/>
        <v>0</v>
      </c>
      <c r="AX22">
        <f t="shared" si="10"/>
        <v>5</v>
      </c>
      <c r="AY22" s="29">
        <f t="shared" si="11"/>
        <v>30</v>
      </c>
      <c r="AZ22" s="29">
        <f t="shared" si="12"/>
        <v>30</v>
      </c>
      <c r="BA22" s="30">
        <f t="shared" ca="1" si="13"/>
        <v>13032</v>
      </c>
      <c r="BB22" s="30">
        <f t="shared" ca="1" si="14"/>
        <v>434.4</v>
      </c>
      <c r="BC22" s="30">
        <f t="shared" ca="1" si="15"/>
        <v>0</v>
      </c>
      <c r="BD22" s="30">
        <f t="shared" ca="1" si="16"/>
        <v>13032</v>
      </c>
      <c r="BF22" s="34"/>
      <c r="BG22" s="31"/>
      <c r="BH22" s="31"/>
      <c r="BI22" s="31"/>
      <c r="BJ22" s="31"/>
    </row>
    <row r="23" spans="1:62" x14ac:dyDescent="0.3">
      <c r="C23" s="31"/>
      <c r="D23" s="31"/>
      <c r="E23" s="32"/>
      <c r="F23" s="8">
        <v>15</v>
      </c>
      <c r="G23" s="9">
        <v>1015</v>
      </c>
      <c r="H23" s="15" t="s">
        <v>17</v>
      </c>
      <c r="I23" s="17">
        <f t="shared" si="6"/>
        <v>5</v>
      </c>
      <c r="J23" s="18" t="str">
        <f t="shared" si="7"/>
        <v>WO</v>
      </c>
      <c r="K23" s="18" t="s">
        <v>38</v>
      </c>
      <c r="L23" s="18" t="s">
        <v>38</v>
      </c>
      <c r="M23" s="18" t="s">
        <v>38</v>
      </c>
      <c r="N23" s="18" t="s">
        <v>38</v>
      </c>
      <c r="O23" s="18" t="s">
        <v>38</v>
      </c>
      <c r="P23" s="18" t="s">
        <v>38</v>
      </c>
      <c r="Q23" s="18" t="str">
        <f t="shared" si="7"/>
        <v>WO</v>
      </c>
      <c r="R23" s="18" t="s">
        <v>38</v>
      </c>
      <c r="S23" s="18" t="s">
        <v>38</v>
      </c>
      <c r="T23" s="18" t="s">
        <v>38</v>
      </c>
      <c r="U23" s="18" t="s">
        <v>38</v>
      </c>
      <c r="V23" s="18" t="s">
        <v>38</v>
      </c>
      <c r="W23" s="18" t="s">
        <v>38</v>
      </c>
      <c r="X23" s="18" t="str">
        <f t="shared" si="7"/>
        <v>WO</v>
      </c>
      <c r="Y23" s="18" t="s">
        <v>38</v>
      </c>
      <c r="Z23" s="18" t="s">
        <v>38</v>
      </c>
      <c r="AA23" s="18" t="s">
        <v>38</v>
      </c>
      <c r="AB23" s="18" t="s">
        <v>38</v>
      </c>
      <c r="AC23" s="18" t="s">
        <v>38</v>
      </c>
      <c r="AD23" s="18" t="s">
        <v>38</v>
      </c>
      <c r="AE23" s="18" t="str">
        <f t="shared" si="17"/>
        <v>WO</v>
      </c>
      <c r="AF23" s="18" t="s">
        <v>38</v>
      </c>
      <c r="AG23" s="18" t="s">
        <v>38</v>
      </c>
      <c r="AH23" s="18" t="s">
        <v>38</v>
      </c>
      <c r="AI23" s="18" t="s">
        <v>38</v>
      </c>
      <c r="AJ23" s="18" t="s">
        <v>38</v>
      </c>
      <c r="AK23" s="18" t="s">
        <v>38</v>
      </c>
      <c r="AL23" s="18" t="str">
        <f t="shared" si="17"/>
        <v>WO</v>
      </c>
      <c r="AM23" s="18" t="s">
        <v>38</v>
      </c>
      <c r="AN23" s="19" t="str">
        <f t="shared" si="17"/>
        <v/>
      </c>
      <c r="AO23" s="32"/>
      <c r="AP23" s="34"/>
      <c r="AQ23" s="9">
        <v>15</v>
      </c>
      <c r="AR23" s="9">
        <v>1015</v>
      </c>
      <c r="AS23" s="9" t="str">
        <f t="shared" si="8"/>
        <v>June</v>
      </c>
      <c r="AT23" s="15" t="s">
        <v>17</v>
      </c>
      <c r="AU23" s="28">
        <f t="shared" si="9"/>
        <v>25</v>
      </c>
      <c r="AV23">
        <f t="shared" si="4"/>
        <v>0</v>
      </c>
      <c r="AW23">
        <f t="shared" si="5"/>
        <v>0</v>
      </c>
      <c r="AX23">
        <f t="shared" si="10"/>
        <v>5</v>
      </c>
      <c r="AY23" s="29">
        <f t="shared" si="11"/>
        <v>30</v>
      </c>
      <c r="AZ23" s="29">
        <f t="shared" si="12"/>
        <v>30</v>
      </c>
      <c r="BA23" s="30">
        <f t="shared" ca="1" si="13"/>
        <v>20973</v>
      </c>
      <c r="BB23" s="30">
        <f t="shared" ca="1" si="14"/>
        <v>699.1</v>
      </c>
      <c r="BC23" s="30">
        <f t="shared" ca="1" si="15"/>
        <v>0</v>
      </c>
      <c r="BD23" s="30">
        <f t="shared" ca="1" si="16"/>
        <v>20973</v>
      </c>
      <c r="BF23" s="34"/>
      <c r="BG23" s="31"/>
      <c r="BH23" s="31"/>
      <c r="BI23" s="31"/>
      <c r="BJ23" s="31"/>
    </row>
    <row r="24" spans="1:62" x14ac:dyDescent="0.3">
      <c r="C24" s="31"/>
      <c r="D24" s="31"/>
      <c r="E24" s="32"/>
      <c r="F24" s="8">
        <v>16</v>
      </c>
      <c r="G24" s="9">
        <v>1016</v>
      </c>
      <c r="H24" s="15" t="s">
        <v>18</v>
      </c>
      <c r="I24" s="17">
        <f t="shared" si="6"/>
        <v>5</v>
      </c>
      <c r="J24" s="18" t="str">
        <f t="shared" si="7"/>
        <v>WO</v>
      </c>
      <c r="K24" s="18" t="s">
        <v>38</v>
      </c>
      <c r="L24" s="18" t="s">
        <v>38</v>
      </c>
      <c r="M24" s="18" t="s">
        <v>39</v>
      </c>
      <c r="N24" s="18" t="s">
        <v>38</v>
      </c>
      <c r="O24" s="18" t="s">
        <v>39</v>
      </c>
      <c r="P24" s="18" t="s">
        <v>39</v>
      </c>
      <c r="Q24" s="18" t="str">
        <f t="shared" si="7"/>
        <v>WO</v>
      </c>
      <c r="R24" s="18" t="s">
        <v>38</v>
      </c>
      <c r="S24" s="18" t="s">
        <v>38</v>
      </c>
      <c r="T24" s="18" t="s">
        <v>39</v>
      </c>
      <c r="U24" s="18" t="s">
        <v>38</v>
      </c>
      <c r="V24" s="18" t="s">
        <v>39</v>
      </c>
      <c r="W24" s="18" t="s">
        <v>39</v>
      </c>
      <c r="X24" s="18" t="str">
        <f t="shared" si="7"/>
        <v>WO</v>
      </c>
      <c r="Y24" s="18" t="s">
        <v>38</v>
      </c>
      <c r="Z24" s="18" t="s">
        <v>38</v>
      </c>
      <c r="AA24" s="18" t="s">
        <v>39</v>
      </c>
      <c r="AB24" s="18" t="s">
        <v>38</v>
      </c>
      <c r="AC24" s="18" t="s">
        <v>39</v>
      </c>
      <c r="AD24" s="18" t="s">
        <v>39</v>
      </c>
      <c r="AE24" s="18" t="str">
        <f t="shared" si="17"/>
        <v>WO</v>
      </c>
      <c r="AF24" s="18" t="s">
        <v>38</v>
      </c>
      <c r="AG24" s="18" t="s">
        <v>38</v>
      </c>
      <c r="AH24" s="18" t="s">
        <v>39</v>
      </c>
      <c r="AI24" s="18" t="s">
        <v>38</v>
      </c>
      <c r="AJ24" s="18" t="s">
        <v>39</v>
      </c>
      <c r="AK24" s="18" t="s">
        <v>39</v>
      </c>
      <c r="AL24" s="18" t="str">
        <f t="shared" si="17"/>
        <v>WO</v>
      </c>
      <c r="AM24" s="18" t="s">
        <v>39</v>
      </c>
      <c r="AN24" s="19" t="str">
        <f t="shared" si="17"/>
        <v/>
      </c>
      <c r="AO24" s="32"/>
      <c r="AP24" s="34"/>
      <c r="AQ24" s="9">
        <v>16</v>
      </c>
      <c r="AR24" s="9">
        <v>1016</v>
      </c>
      <c r="AS24" s="9" t="str">
        <f t="shared" si="8"/>
        <v>June</v>
      </c>
      <c r="AT24" s="15" t="s">
        <v>18</v>
      </c>
      <c r="AU24" s="28">
        <f t="shared" si="9"/>
        <v>12</v>
      </c>
      <c r="AV24">
        <f t="shared" si="4"/>
        <v>13</v>
      </c>
      <c r="AW24">
        <f t="shared" si="5"/>
        <v>0</v>
      </c>
      <c r="AX24">
        <f t="shared" si="10"/>
        <v>5</v>
      </c>
      <c r="AY24" s="29">
        <f t="shared" si="11"/>
        <v>30</v>
      </c>
      <c r="AZ24" s="29">
        <f t="shared" si="12"/>
        <v>17</v>
      </c>
      <c r="BA24" s="30">
        <f t="shared" ca="1" si="13"/>
        <v>24187</v>
      </c>
      <c r="BB24" s="30">
        <f t="shared" ca="1" si="14"/>
        <v>1422.7647058823529</v>
      </c>
      <c r="BC24" s="30">
        <f t="shared" ca="1" si="15"/>
        <v>18495.941176470587</v>
      </c>
      <c r="BD24" s="30">
        <f t="shared" ca="1" si="16"/>
        <v>5691.0588235294126</v>
      </c>
      <c r="BF24" s="34"/>
      <c r="BG24" s="31"/>
      <c r="BH24" s="31"/>
      <c r="BI24" s="31"/>
      <c r="BJ24" s="31"/>
    </row>
    <row r="25" spans="1:62" x14ac:dyDescent="0.3">
      <c r="C25" s="31"/>
      <c r="D25" s="31"/>
      <c r="E25" s="32"/>
      <c r="F25" s="8">
        <v>17</v>
      </c>
      <c r="G25" s="9">
        <v>1017</v>
      </c>
      <c r="H25" s="15" t="s">
        <v>19</v>
      </c>
      <c r="I25" s="17">
        <f t="shared" si="6"/>
        <v>5</v>
      </c>
      <c r="J25" s="18" t="str">
        <f t="shared" si="7"/>
        <v>WO</v>
      </c>
      <c r="K25" s="18" t="s">
        <v>39</v>
      </c>
      <c r="L25" s="18" t="s">
        <v>38</v>
      </c>
      <c r="M25" s="18" t="s">
        <v>38</v>
      </c>
      <c r="N25" s="18" t="s">
        <v>38</v>
      </c>
      <c r="O25" s="18" t="s">
        <v>38</v>
      </c>
      <c r="P25" s="18" t="s">
        <v>38</v>
      </c>
      <c r="Q25" s="18" t="str">
        <f t="shared" si="7"/>
        <v>WO</v>
      </c>
      <c r="R25" s="18" t="s">
        <v>39</v>
      </c>
      <c r="S25" s="18" t="s">
        <v>38</v>
      </c>
      <c r="T25" s="18" t="s">
        <v>38</v>
      </c>
      <c r="U25" s="18" t="s">
        <v>38</v>
      </c>
      <c r="V25" s="18" t="s">
        <v>38</v>
      </c>
      <c r="W25" s="18" t="s">
        <v>38</v>
      </c>
      <c r="X25" s="18" t="str">
        <f t="shared" si="7"/>
        <v>WO</v>
      </c>
      <c r="Y25" s="18" t="s">
        <v>39</v>
      </c>
      <c r="Z25" s="18" t="s">
        <v>38</v>
      </c>
      <c r="AA25" s="18" t="s">
        <v>38</v>
      </c>
      <c r="AB25" s="18" t="s">
        <v>38</v>
      </c>
      <c r="AC25" s="18" t="s">
        <v>38</v>
      </c>
      <c r="AD25" s="18" t="s">
        <v>38</v>
      </c>
      <c r="AE25" s="18" t="str">
        <f t="shared" si="17"/>
        <v>WO</v>
      </c>
      <c r="AF25" s="18" t="s">
        <v>39</v>
      </c>
      <c r="AG25" s="18" t="s">
        <v>38</v>
      </c>
      <c r="AH25" s="18" t="s">
        <v>38</v>
      </c>
      <c r="AI25" s="18" t="s">
        <v>38</v>
      </c>
      <c r="AJ25" s="18" t="s">
        <v>38</v>
      </c>
      <c r="AK25" s="18" t="s">
        <v>38</v>
      </c>
      <c r="AL25" s="18" t="str">
        <f t="shared" si="17"/>
        <v>WO</v>
      </c>
      <c r="AM25" s="18" t="s">
        <v>38</v>
      </c>
      <c r="AN25" s="19" t="str">
        <f t="shared" si="17"/>
        <v/>
      </c>
      <c r="AO25" s="32"/>
      <c r="AP25" s="34"/>
      <c r="AQ25" s="9">
        <v>17</v>
      </c>
      <c r="AR25" s="9">
        <v>1017</v>
      </c>
      <c r="AS25" s="9" t="str">
        <f t="shared" si="8"/>
        <v>June</v>
      </c>
      <c r="AT25" s="15" t="s">
        <v>19</v>
      </c>
      <c r="AU25" s="28">
        <f t="shared" si="9"/>
        <v>21</v>
      </c>
      <c r="AV25">
        <f t="shared" si="4"/>
        <v>4</v>
      </c>
      <c r="AW25">
        <f t="shared" si="5"/>
        <v>0</v>
      </c>
      <c r="AX25">
        <f t="shared" si="10"/>
        <v>5</v>
      </c>
      <c r="AY25" s="29">
        <f t="shared" si="11"/>
        <v>30</v>
      </c>
      <c r="AZ25" s="29">
        <f t="shared" si="12"/>
        <v>26</v>
      </c>
      <c r="BA25" s="30">
        <f t="shared" ca="1" si="13"/>
        <v>27204</v>
      </c>
      <c r="BB25" s="30">
        <f t="shared" ca="1" si="14"/>
        <v>1046.3076923076924</v>
      </c>
      <c r="BC25" s="30">
        <f t="shared" ca="1" si="15"/>
        <v>4185.2307692307695</v>
      </c>
      <c r="BD25" s="30">
        <f t="shared" ca="1" si="16"/>
        <v>23018.76923076923</v>
      </c>
      <c r="BF25" s="34"/>
      <c r="BG25" s="31"/>
      <c r="BH25" s="31"/>
      <c r="BI25" s="31"/>
      <c r="BJ25" s="31"/>
    </row>
    <row r="26" spans="1:62" x14ac:dyDescent="0.3">
      <c r="C26" s="31"/>
      <c r="D26" s="31"/>
      <c r="E26" s="32"/>
      <c r="F26" s="8">
        <v>18</v>
      </c>
      <c r="G26" s="9">
        <v>1018</v>
      </c>
      <c r="H26" s="15" t="s">
        <v>22</v>
      </c>
      <c r="I26" s="17">
        <f t="shared" si="6"/>
        <v>5</v>
      </c>
      <c r="J26" s="18" t="str">
        <f t="shared" si="7"/>
        <v>WO</v>
      </c>
      <c r="K26" s="18" t="s">
        <v>38</v>
      </c>
      <c r="L26" s="18" t="s">
        <v>38</v>
      </c>
      <c r="M26" s="18" t="s">
        <v>38</v>
      </c>
      <c r="N26" s="18" t="s">
        <v>38</v>
      </c>
      <c r="O26" s="18" t="s">
        <v>38</v>
      </c>
      <c r="P26" s="18" t="s">
        <v>38</v>
      </c>
      <c r="Q26" s="18" t="str">
        <f t="shared" si="7"/>
        <v>WO</v>
      </c>
      <c r="R26" s="18" t="s">
        <v>38</v>
      </c>
      <c r="S26" s="18" t="s">
        <v>38</v>
      </c>
      <c r="T26" s="18" t="s">
        <v>38</v>
      </c>
      <c r="U26" s="18" t="s">
        <v>38</v>
      </c>
      <c r="V26" s="18" t="s">
        <v>38</v>
      </c>
      <c r="W26" s="18" t="s">
        <v>38</v>
      </c>
      <c r="X26" s="18" t="str">
        <f t="shared" si="7"/>
        <v>WO</v>
      </c>
      <c r="Y26" s="18" t="s">
        <v>38</v>
      </c>
      <c r="Z26" s="18" t="s">
        <v>38</v>
      </c>
      <c r="AA26" s="18" t="s">
        <v>38</v>
      </c>
      <c r="AB26" s="18" t="s">
        <v>38</v>
      </c>
      <c r="AC26" s="18" t="s">
        <v>38</v>
      </c>
      <c r="AD26" s="18" t="s">
        <v>38</v>
      </c>
      <c r="AE26" s="18" t="str">
        <f t="shared" si="17"/>
        <v>WO</v>
      </c>
      <c r="AF26" s="18" t="s">
        <v>38</v>
      </c>
      <c r="AG26" s="18" t="s">
        <v>38</v>
      </c>
      <c r="AH26" s="18" t="s">
        <v>38</v>
      </c>
      <c r="AI26" s="18" t="s">
        <v>38</v>
      </c>
      <c r="AJ26" s="18" t="s">
        <v>38</v>
      </c>
      <c r="AK26" s="18" t="s">
        <v>38</v>
      </c>
      <c r="AL26" s="18" t="str">
        <f t="shared" si="17"/>
        <v>WO</v>
      </c>
      <c r="AM26" s="18" t="s">
        <v>38</v>
      </c>
      <c r="AN26" s="19" t="str">
        <f t="shared" si="17"/>
        <v/>
      </c>
      <c r="AO26" s="32"/>
      <c r="AP26" s="34"/>
      <c r="AQ26" s="9">
        <v>18</v>
      </c>
      <c r="AR26" s="9">
        <v>1018</v>
      </c>
      <c r="AS26" s="9" t="str">
        <f t="shared" si="8"/>
        <v>June</v>
      </c>
      <c r="AT26" s="15" t="s">
        <v>22</v>
      </c>
      <c r="AU26" s="28">
        <f t="shared" si="9"/>
        <v>25</v>
      </c>
      <c r="AV26">
        <f t="shared" si="4"/>
        <v>0</v>
      </c>
      <c r="AW26">
        <f t="shared" si="5"/>
        <v>0</v>
      </c>
      <c r="AX26">
        <f t="shared" si="10"/>
        <v>5</v>
      </c>
      <c r="AY26" s="29">
        <f t="shared" si="11"/>
        <v>30</v>
      </c>
      <c r="AZ26" s="29">
        <f t="shared" si="12"/>
        <v>30</v>
      </c>
      <c r="BA26" s="30">
        <f t="shared" ca="1" si="13"/>
        <v>49469</v>
      </c>
      <c r="BB26" s="30">
        <f t="shared" ca="1" si="14"/>
        <v>1648.9666666666667</v>
      </c>
      <c r="BC26" s="30">
        <f t="shared" ca="1" si="15"/>
        <v>0</v>
      </c>
      <c r="BD26" s="30">
        <f t="shared" ca="1" si="16"/>
        <v>49469</v>
      </c>
      <c r="BF26" s="34"/>
      <c r="BG26" s="31"/>
      <c r="BH26" s="31"/>
      <c r="BI26" s="31"/>
      <c r="BJ26" s="31"/>
    </row>
    <row r="27" spans="1:62" x14ac:dyDescent="0.3">
      <c r="C27" s="31"/>
      <c r="D27" s="31"/>
      <c r="E27" s="32"/>
      <c r="F27" s="8">
        <v>19</v>
      </c>
      <c r="G27" s="9">
        <v>1019</v>
      </c>
      <c r="H27" s="15" t="s">
        <v>20</v>
      </c>
      <c r="I27" s="17">
        <f t="shared" si="6"/>
        <v>5</v>
      </c>
      <c r="J27" s="18" t="str">
        <f t="shared" si="7"/>
        <v>WO</v>
      </c>
      <c r="K27" s="18" t="s">
        <v>38</v>
      </c>
      <c r="L27" s="18" t="s">
        <v>39</v>
      </c>
      <c r="M27" s="18" t="s">
        <v>38</v>
      </c>
      <c r="N27" s="18" t="s">
        <v>38</v>
      </c>
      <c r="O27" s="18" t="s">
        <v>38</v>
      </c>
      <c r="P27" s="18" t="s">
        <v>38</v>
      </c>
      <c r="Q27" s="18" t="str">
        <f t="shared" si="7"/>
        <v>WO</v>
      </c>
      <c r="R27" s="18" t="s">
        <v>38</v>
      </c>
      <c r="S27" s="18" t="s">
        <v>39</v>
      </c>
      <c r="T27" s="18" t="s">
        <v>38</v>
      </c>
      <c r="U27" s="18" t="s">
        <v>38</v>
      </c>
      <c r="V27" s="18" t="s">
        <v>38</v>
      </c>
      <c r="W27" s="18" t="s">
        <v>38</v>
      </c>
      <c r="X27" s="18" t="str">
        <f t="shared" si="7"/>
        <v>WO</v>
      </c>
      <c r="Y27" s="18" t="s">
        <v>38</v>
      </c>
      <c r="Z27" s="18" t="s">
        <v>39</v>
      </c>
      <c r="AA27" s="18" t="s">
        <v>38</v>
      </c>
      <c r="AB27" s="18" t="s">
        <v>38</v>
      </c>
      <c r="AC27" s="18" t="s">
        <v>38</v>
      </c>
      <c r="AD27" s="18" t="s">
        <v>38</v>
      </c>
      <c r="AE27" s="18" t="str">
        <f t="shared" si="17"/>
        <v>WO</v>
      </c>
      <c r="AF27" s="18" t="s">
        <v>38</v>
      </c>
      <c r="AG27" s="18" t="s">
        <v>39</v>
      </c>
      <c r="AH27" s="18" t="s">
        <v>38</v>
      </c>
      <c r="AI27" s="18" t="s">
        <v>38</v>
      </c>
      <c r="AJ27" s="18" t="s">
        <v>38</v>
      </c>
      <c r="AK27" s="18" t="s">
        <v>38</v>
      </c>
      <c r="AL27" s="18" t="str">
        <f t="shared" si="17"/>
        <v>WO</v>
      </c>
      <c r="AM27" s="18" t="s">
        <v>38</v>
      </c>
      <c r="AN27" s="19" t="str">
        <f t="shared" si="17"/>
        <v/>
      </c>
      <c r="AO27" s="32"/>
      <c r="AP27" s="34"/>
      <c r="AQ27" s="9">
        <v>19</v>
      </c>
      <c r="AR27" s="9">
        <v>1019</v>
      </c>
      <c r="AS27" s="9" t="str">
        <f t="shared" si="8"/>
        <v>June</v>
      </c>
      <c r="AT27" s="15" t="s">
        <v>20</v>
      </c>
      <c r="AU27" s="28">
        <f t="shared" si="9"/>
        <v>21</v>
      </c>
      <c r="AV27">
        <f t="shared" si="4"/>
        <v>4</v>
      </c>
      <c r="AW27">
        <f t="shared" si="5"/>
        <v>0</v>
      </c>
      <c r="AX27">
        <f t="shared" si="10"/>
        <v>5</v>
      </c>
      <c r="AY27" s="29">
        <f t="shared" si="11"/>
        <v>30</v>
      </c>
      <c r="AZ27" s="29">
        <f t="shared" si="12"/>
        <v>26</v>
      </c>
      <c r="BA27" s="30">
        <f t="shared" ca="1" si="13"/>
        <v>13208</v>
      </c>
      <c r="BB27" s="30">
        <f t="shared" ca="1" si="14"/>
        <v>508</v>
      </c>
      <c r="BC27" s="30">
        <f t="shared" ca="1" si="15"/>
        <v>2032</v>
      </c>
      <c r="BD27" s="30">
        <f t="shared" ca="1" si="16"/>
        <v>11176</v>
      </c>
      <c r="BF27" s="34"/>
      <c r="BG27" s="31"/>
      <c r="BH27" s="31"/>
      <c r="BI27" s="31"/>
      <c r="BJ27" s="31"/>
    </row>
    <row r="28" spans="1:62" ht="15" thickBot="1" x14ac:dyDescent="0.35">
      <c r="C28" s="31"/>
      <c r="D28" s="31"/>
      <c r="E28" s="32"/>
      <c r="F28" s="10">
        <v>20</v>
      </c>
      <c r="G28" s="11">
        <v>1020</v>
      </c>
      <c r="H28" s="16" t="s">
        <v>21</v>
      </c>
      <c r="I28" s="20">
        <f t="shared" si="6"/>
        <v>5</v>
      </c>
      <c r="J28" s="21" t="str">
        <f t="shared" si="7"/>
        <v>WO</v>
      </c>
      <c r="K28" s="21" t="s">
        <v>38</v>
      </c>
      <c r="L28" s="21" t="s">
        <v>38</v>
      </c>
      <c r="M28" s="21" t="s">
        <v>38</v>
      </c>
      <c r="N28" s="21" t="s">
        <v>39</v>
      </c>
      <c r="O28" s="21" t="s">
        <v>38</v>
      </c>
      <c r="P28" s="21" t="s">
        <v>38</v>
      </c>
      <c r="Q28" s="21" t="str">
        <f t="shared" si="7"/>
        <v>WO</v>
      </c>
      <c r="R28" s="21" t="s">
        <v>38</v>
      </c>
      <c r="S28" s="21" t="s">
        <v>38</v>
      </c>
      <c r="T28" s="21" t="s">
        <v>38</v>
      </c>
      <c r="U28" s="21" t="s">
        <v>39</v>
      </c>
      <c r="V28" s="21" t="s">
        <v>38</v>
      </c>
      <c r="W28" s="21" t="s">
        <v>38</v>
      </c>
      <c r="X28" s="21" t="str">
        <f t="shared" si="7"/>
        <v>WO</v>
      </c>
      <c r="Y28" s="21" t="s">
        <v>38</v>
      </c>
      <c r="Z28" s="21" t="s">
        <v>38</v>
      </c>
      <c r="AA28" s="21" t="s">
        <v>38</v>
      </c>
      <c r="AB28" s="21" t="s">
        <v>39</v>
      </c>
      <c r="AC28" s="21" t="s">
        <v>38</v>
      </c>
      <c r="AD28" s="21" t="s">
        <v>38</v>
      </c>
      <c r="AE28" s="21" t="str">
        <f t="shared" si="17"/>
        <v>WO</v>
      </c>
      <c r="AF28" s="21" t="s">
        <v>38</v>
      </c>
      <c r="AG28" s="21" t="s">
        <v>38</v>
      </c>
      <c r="AH28" s="21" t="s">
        <v>38</v>
      </c>
      <c r="AI28" s="21" t="s">
        <v>39</v>
      </c>
      <c r="AJ28" s="21" t="s">
        <v>38</v>
      </c>
      <c r="AK28" s="21" t="s">
        <v>38</v>
      </c>
      <c r="AL28" s="21" t="str">
        <f t="shared" si="17"/>
        <v>WO</v>
      </c>
      <c r="AM28" s="21" t="s">
        <v>38</v>
      </c>
      <c r="AN28" s="22" t="str">
        <f t="shared" si="17"/>
        <v/>
      </c>
      <c r="AO28" s="32"/>
      <c r="AP28" s="34"/>
      <c r="AQ28" s="9">
        <v>20</v>
      </c>
      <c r="AR28" s="9">
        <v>1020</v>
      </c>
      <c r="AS28" s="9" t="str">
        <f t="shared" si="8"/>
        <v>June</v>
      </c>
      <c r="AT28" s="15" t="s">
        <v>21</v>
      </c>
      <c r="AU28" s="28">
        <f t="shared" si="9"/>
        <v>21</v>
      </c>
      <c r="AV28">
        <f t="shared" si="4"/>
        <v>4</v>
      </c>
      <c r="AW28">
        <f t="shared" si="5"/>
        <v>0</v>
      </c>
      <c r="AX28">
        <f t="shared" si="10"/>
        <v>5</v>
      </c>
      <c r="AY28" s="29">
        <f t="shared" si="11"/>
        <v>30</v>
      </c>
      <c r="AZ28" s="29">
        <f t="shared" si="12"/>
        <v>26</v>
      </c>
      <c r="BA28" s="30">
        <f t="shared" ca="1" si="13"/>
        <v>17761</v>
      </c>
      <c r="BB28" s="30">
        <f t="shared" ca="1" si="14"/>
        <v>683.11538461538464</v>
      </c>
      <c r="BC28" s="30">
        <f t="shared" ca="1" si="15"/>
        <v>2732.4615384615386</v>
      </c>
      <c r="BD28" s="30">
        <f t="shared" ca="1" si="16"/>
        <v>15028.538461538461</v>
      </c>
      <c r="BF28" s="34"/>
      <c r="BG28" s="31"/>
      <c r="BH28" s="31"/>
      <c r="BI28" s="31"/>
      <c r="BJ28" s="31"/>
    </row>
    <row r="29" spans="1:62" x14ac:dyDescent="0.3">
      <c r="A29" s="31"/>
      <c r="B29" s="31"/>
      <c r="C29" s="31"/>
      <c r="D29" s="31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1"/>
      <c r="BH29" s="31"/>
      <c r="BI29" s="31"/>
      <c r="BJ29" s="31"/>
    </row>
    <row r="30" spans="1:62" x14ac:dyDescent="0.3">
      <c r="A30" s="31"/>
      <c r="B30" s="31"/>
      <c r="C30" s="31"/>
      <c r="D30" s="31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1"/>
      <c r="BH30" s="31"/>
      <c r="BI30" s="31"/>
      <c r="BJ30" s="31"/>
    </row>
    <row r="31" spans="1:62" x14ac:dyDescent="0.3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</row>
    <row r="32" spans="1:62" x14ac:dyDescent="0.3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</row>
    <row r="33" spans="1:62" x14ac:dyDescent="0.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</row>
    <row r="34" spans="1:62" x14ac:dyDescent="0.3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</row>
    <row r="35" spans="1:62" x14ac:dyDescent="0.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</row>
    <row r="36" spans="1:62" x14ac:dyDescent="0.3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</row>
    <row r="37" spans="1:62" x14ac:dyDescent="0.3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</row>
    <row r="38" spans="1:62" x14ac:dyDescent="0.3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</row>
    <row r="39" spans="1:62" x14ac:dyDescent="0.3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</row>
    <row r="40" spans="1:62" x14ac:dyDescent="0.3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</row>
    <row r="41" spans="1:62" x14ac:dyDescent="0.3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</row>
    <row r="42" spans="1:62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</row>
    <row r="43" spans="1:62" x14ac:dyDescent="0.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</row>
    <row r="44" spans="1:62" x14ac:dyDescent="0.3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</row>
    <row r="45" spans="1:62" x14ac:dyDescent="0.3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</row>
    <row r="46" spans="1:62" x14ac:dyDescent="0.3">
      <c r="AO46" s="31"/>
      <c r="AP46" s="31"/>
      <c r="BF46" s="31"/>
      <c r="BG46" s="31"/>
      <c r="BH46" s="31"/>
      <c r="BI46" s="31"/>
      <c r="BJ46" s="31"/>
    </row>
    <row r="47" spans="1:62" x14ac:dyDescent="0.3">
      <c r="AO47" s="31"/>
      <c r="AP47" s="31"/>
      <c r="BF47" s="31"/>
      <c r="BG47" s="31"/>
      <c r="BH47" s="31"/>
      <c r="BI47" s="31"/>
      <c r="BJ47" s="31"/>
    </row>
    <row r="48" spans="1:62" x14ac:dyDescent="0.3">
      <c r="AO48" s="31"/>
      <c r="AP48" s="31"/>
      <c r="BF48" s="31"/>
      <c r="BG48" s="31"/>
      <c r="BH48" s="31"/>
      <c r="BI48" s="31"/>
      <c r="BJ48" s="31"/>
    </row>
    <row r="49" spans="41:62" x14ac:dyDescent="0.3">
      <c r="AO49" s="31"/>
      <c r="AP49" s="31"/>
      <c r="BF49" s="31"/>
      <c r="BG49" s="31"/>
      <c r="BH49" s="31"/>
      <c r="BI49" s="31"/>
      <c r="BJ49" s="31"/>
    </row>
  </sheetData>
  <conditionalFormatting sqref="J9:J28 Q9:Q28 X9:X28 AE9:AE28 AL9:AL28 AN9:AN28">
    <cfRule type="containsText" dxfId="227" priority="73" operator="containsText" text="WO">
      <formula>NOT(ISERROR(SEARCH("WO",J9)))</formula>
    </cfRule>
    <cfRule type="containsText" dxfId="226" priority="53" operator="containsText" text="L">
      <formula>NOT(ISERROR(SEARCH("L",J9)))</formula>
    </cfRule>
    <cfRule type="containsText" dxfId="225" priority="72" operator="containsText" text="P">
      <formula>NOT(ISERROR(SEARCH("P",J9)))</formula>
    </cfRule>
    <cfRule type="containsText" dxfId="224" priority="71" operator="containsText" text="A">
      <formula>NOT(ISERROR(SEARCH("A",J9)))</formula>
    </cfRule>
    <cfRule type="containsText" dxfId="223" priority="70" operator="containsText" text="L">
      <formula>NOT(ISERROR(SEARCH("L",J9)))</formula>
    </cfRule>
    <cfRule type="containsText" dxfId="222" priority="69" operator="containsText" text="P">
      <formula>NOT(ISERROR(SEARCH("P",J9)))</formula>
    </cfRule>
    <cfRule type="containsText" dxfId="221" priority="55" operator="containsText" text="P">
      <formula>NOT(ISERROR(SEARCH("P",J9)))</formula>
    </cfRule>
    <cfRule type="containsText" dxfId="220" priority="54" operator="containsText" text="A">
      <formula>NOT(ISERROR(SEARCH("A",J9)))</formula>
    </cfRule>
  </conditionalFormatting>
  <conditionalFormatting sqref="K9:P28">
    <cfRule type="containsText" dxfId="219" priority="29" operator="containsText" text="L">
      <formula>NOT(ISERROR(SEARCH("L",K9)))</formula>
    </cfRule>
    <cfRule type="containsText" dxfId="218" priority="30" operator="containsText" text="A">
      <formula>NOT(ISERROR(SEARCH("A",K9)))</formula>
    </cfRule>
    <cfRule type="containsText" dxfId="217" priority="31" operator="containsText" text="P">
      <formula>NOT(ISERROR(SEARCH("P",K9)))</formula>
    </cfRule>
    <cfRule type="containsText" dxfId="216" priority="32" operator="containsText" text="WO">
      <formula>NOT(ISERROR(SEARCH("WO",K9)))</formula>
    </cfRule>
  </conditionalFormatting>
  <conditionalFormatting sqref="Q9:Q28 X9:X28 AE9:AE28 AL9:AL28 J9:J28 AN9:AN28">
    <cfRule type="containsText" dxfId="215" priority="65" operator="containsText" text="A">
      <formula>NOT(ISERROR(SEARCH("A",J9)))</formula>
    </cfRule>
  </conditionalFormatting>
  <conditionalFormatting sqref="Q9:Q28">
    <cfRule type="containsText" dxfId="214" priority="64" operator="containsText" text="P">
      <formula>NOT(ISERROR(SEARCH("P",Q9)))</formula>
    </cfRule>
  </conditionalFormatting>
  <conditionalFormatting sqref="R9:W28">
    <cfRule type="containsText" dxfId="213" priority="24" operator="containsText" text="WO">
      <formula>NOT(ISERROR(SEARCH("WO",R9)))</formula>
    </cfRule>
    <cfRule type="containsText" dxfId="212" priority="23" operator="containsText" text="P">
      <formula>NOT(ISERROR(SEARCH("P",R9)))</formula>
    </cfRule>
    <cfRule type="containsText" dxfId="211" priority="22" operator="containsText" text="A">
      <formula>NOT(ISERROR(SEARCH("A",R9)))</formula>
    </cfRule>
    <cfRule type="containsText" dxfId="210" priority="21" operator="containsText" text="L">
      <formula>NOT(ISERROR(SEARCH("L",R9)))</formula>
    </cfRule>
  </conditionalFormatting>
  <conditionalFormatting sqref="X9:X28">
    <cfRule type="containsText" dxfId="209" priority="61" operator="containsText" text="P">
      <formula>NOT(ISERROR(SEARCH("P",X9)))</formula>
    </cfRule>
  </conditionalFormatting>
  <conditionalFormatting sqref="Y9:AD28">
    <cfRule type="containsText" dxfId="208" priority="13" operator="containsText" text="L">
      <formula>NOT(ISERROR(SEARCH("L",Y9)))</formula>
    </cfRule>
    <cfRule type="containsText" dxfId="207" priority="16" operator="containsText" text="WO">
      <formula>NOT(ISERROR(SEARCH("WO",Y9)))</formula>
    </cfRule>
    <cfRule type="containsText" dxfId="206" priority="15" operator="containsText" text="P">
      <formula>NOT(ISERROR(SEARCH("P",Y9)))</formula>
    </cfRule>
    <cfRule type="containsText" dxfId="205" priority="14" operator="containsText" text="A">
      <formula>NOT(ISERROR(SEARCH("A",Y9)))</formula>
    </cfRule>
  </conditionalFormatting>
  <conditionalFormatting sqref="AE9:AE28">
    <cfRule type="containsText" dxfId="204" priority="59" operator="containsText" text="P">
      <formula>NOT(ISERROR(SEARCH("P",AE9)))</formula>
    </cfRule>
  </conditionalFormatting>
  <conditionalFormatting sqref="AF9:AK28">
    <cfRule type="containsText" dxfId="203" priority="5" operator="containsText" text="L">
      <formula>NOT(ISERROR(SEARCH("L",AF9)))</formula>
    </cfRule>
    <cfRule type="containsText" dxfId="202" priority="6" operator="containsText" text="A">
      <formula>NOT(ISERROR(SEARCH("A",AF9)))</formula>
    </cfRule>
    <cfRule type="containsText" dxfId="201" priority="7" operator="containsText" text="P">
      <formula>NOT(ISERROR(SEARCH("P",AF9)))</formula>
    </cfRule>
    <cfRule type="containsText" dxfId="200" priority="8" operator="containsText" text="WO">
      <formula>NOT(ISERROR(SEARCH("WO",AF9)))</formula>
    </cfRule>
  </conditionalFormatting>
  <conditionalFormatting sqref="AL9:AL28">
    <cfRule type="containsText" dxfId="199" priority="57" operator="containsText" text="P">
      <formula>NOT(ISERROR(SEARCH("P",AL9)))</formula>
    </cfRule>
  </conditionalFormatting>
  <conditionalFormatting sqref="AM9:AM28">
    <cfRule type="containsText" dxfId="198" priority="2" operator="containsText" text="A">
      <formula>NOT(ISERROR(SEARCH("A",AM9)))</formula>
    </cfRule>
    <cfRule type="containsText" dxfId="197" priority="3" operator="containsText" text="P">
      <formula>NOT(ISERROR(SEARCH("P",AM9)))</formula>
    </cfRule>
    <cfRule type="containsText" dxfId="196" priority="4" operator="containsText" text="WO">
      <formula>NOT(ISERROR(SEARCH("WO",AM9)))</formula>
    </cfRule>
    <cfRule type="containsText" dxfId="195" priority="1" operator="containsText" text="L">
      <formula>NOT(ISERROR(SEARCH("L",AM9)))</formula>
    </cfRule>
  </conditionalFormatting>
  <dataValidations count="1">
    <dataValidation type="list" allowBlank="1" showInputMessage="1" showErrorMessage="1" sqref="F7:I28 J7:AN8 AF9:AK28 R9:W28 Y9:AD28 K9:P28 AM9:AM28" xr:uid="{F61DB30A-3B9A-45AC-9990-A6554AB284C8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79372C-1B34-45EA-971B-778F24F2B429}">
          <x14:formula1>
            <xm:f>Rough!$A$1:$A$12</xm:f>
          </x14:formula1>
          <xm:sqref>G5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60574DAC-DF5A-475D-A52B-C27436BBE18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June!AU9:AX9</xm:f>
              <xm:sqref>BE9</xm:sqref>
            </x14:sparkline>
            <x14:sparkline>
              <xm:f>June!AU10:AX10</xm:f>
              <xm:sqref>BE10</xm:sqref>
            </x14:sparkline>
            <x14:sparkline>
              <xm:f>June!AU11:AX11</xm:f>
              <xm:sqref>BE11</xm:sqref>
            </x14:sparkline>
            <x14:sparkline>
              <xm:f>June!AU12:AX12</xm:f>
              <xm:sqref>BE12</xm:sqref>
            </x14:sparkline>
            <x14:sparkline>
              <xm:f>June!AU13:AX13</xm:f>
              <xm:sqref>BE13</xm:sqref>
            </x14:sparkline>
            <x14:sparkline>
              <xm:f>June!AU14:AX14</xm:f>
              <xm:sqref>BE14</xm:sqref>
            </x14:sparkline>
            <x14:sparkline>
              <xm:f>June!AU15:AX15</xm:f>
              <xm:sqref>BE15</xm:sqref>
            </x14:sparkline>
            <x14:sparkline>
              <xm:f>June!AU16:AX16</xm:f>
              <xm:sqref>BE16</xm:sqref>
            </x14:sparkline>
            <x14:sparkline>
              <xm:f>June!AU17:AX17</xm:f>
              <xm:sqref>BE17</xm:sqref>
            </x14:sparkline>
            <x14:sparkline>
              <xm:f>June!AU18:AX18</xm:f>
              <xm:sqref>BE18</xm:sqref>
            </x14:sparkline>
            <x14:sparkline>
              <xm:f>June!AU19:AX19</xm:f>
              <xm:sqref>BE19</xm:sqref>
            </x14:sparkline>
            <x14:sparkline>
              <xm:f>June!AU20:AX20</xm:f>
              <xm:sqref>BE20</xm:sqref>
            </x14:sparkline>
            <x14:sparkline>
              <xm:f>June!AU21:AX21</xm:f>
              <xm:sqref>BE21</xm:sqref>
            </x14:sparkline>
            <x14:sparkline>
              <xm:f>June!AU22:AX22</xm:f>
              <xm:sqref>BE22</xm:sqref>
            </x14:sparkline>
            <x14:sparkline>
              <xm:f>June!AU23:AX23</xm:f>
              <xm:sqref>BE23</xm:sqref>
            </x14:sparkline>
            <x14:sparkline>
              <xm:f>June!AU24:AX24</xm:f>
              <xm:sqref>BE24</xm:sqref>
            </x14:sparkline>
            <x14:sparkline>
              <xm:f>June!AU25:AX25</xm:f>
              <xm:sqref>BE25</xm:sqref>
            </x14:sparkline>
            <x14:sparkline>
              <xm:f>June!AU26:AX26</xm:f>
              <xm:sqref>BE26</xm:sqref>
            </x14:sparkline>
            <x14:sparkline>
              <xm:f>June!AU27:AX27</xm:f>
              <xm:sqref>BE27</xm:sqref>
            </x14:sparkline>
            <x14:sparkline>
              <xm:f>June!AU28:AX28</xm:f>
              <xm:sqref>BE28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4742F-2618-4832-9E79-9175C73C564D}">
  <dimension ref="A1:BJ49"/>
  <sheetViews>
    <sheetView topLeftCell="A7" workbookViewId="0">
      <selection activeCell="AW5" sqref="AW5"/>
    </sheetView>
  </sheetViews>
  <sheetFormatPr defaultRowHeight="14.4" x14ac:dyDescent="0.3"/>
  <cols>
    <col min="6" max="6" width="6.33203125" bestFit="1" customWidth="1"/>
    <col min="7" max="7" width="14.33203125" bestFit="1" customWidth="1"/>
    <col min="8" max="8" width="18.77734375" bestFit="1" customWidth="1"/>
    <col min="9" max="9" width="10.5546875" bestFit="1" customWidth="1"/>
    <col min="10" max="10" width="5.5546875" customWidth="1"/>
    <col min="11" max="11" width="4" bestFit="1" customWidth="1"/>
    <col min="12" max="12" width="3.88671875" customWidth="1"/>
    <col min="13" max="13" width="3.5546875" bestFit="1" customWidth="1"/>
    <col min="14" max="14" width="3.88671875" bestFit="1" customWidth="1"/>
    <col min="15" max="15" width="4.77734375" bestFit="1" customWidth="1"/>
    <col min="16" max="16" width="4" bestFit="1" customWidth="1"/>
    <col min="17" max="17" width="4.77734375" bestFit="1" customWidth="1"/>
    <col min="18" max="18" width="4" bestFit="1" customWidth="1"/>
    <col min="19" max="19" width="3.44140625" customWidth="1"/>
    <col min="20" max="20" width="3.5546875" bestFit="1" customWidth="1"/>
    <col min="21" max="21" width="3.88671875" bestFit="1" customWidth="1"/>
    <col min="22" max="22" width="4.77734375" bestFit="1" customWidth="1"/>
    <col min="23" max="23" width="4" bestFit="1" customWidth="1"/>
    <col min="24" max="24" width="4.77734375" bestFit="1" customWidth="1"/>
    <col min="25" max="25" width="4" bestFit="1" customWidth="1"/>
    <col min="26" max="26" width="3.44140625" customWidth="1"/>
    <col min="27" max="27" width="3.5546875" bestFit="1" customWidth="1"/>
    <col min="28" max="28" width="3.88671875" bestFit="1" customWidth="1"/>
    <col min="29" max="29" width="4.77734375" bestFit="1" customWidth="1"/>
    <col min="30" max="30" width="4" bestFit="1" customWidth="1"/>
    <col min="31" max="31" width="4.77734375" bestFit="1" customWidth="1"/>
    <col min="32" max="32" width="4" bestFit="1" customWidth="1"/>
    <col min="33" max="33" width="4" customWidth="1"/>
    <col min="34" max="34" width="3.5546875" bestFit="1" customWidth="1"/>
    <col min="35" max="35" width="3.88671875" bestFit="1" customWidth="1"/>
    <col min="36" max="36" width="4.77734375" bestFit="1" customWidth="1"/>
    <col min="37" max="37" width="4" bestFit="1" customWidth="1"/>
    <col min="38" max="38" width="4.77734375" bestFit="1" customWidth="1"/>
    <col min="39" max="39" width="4" bestFit="1" customWidth="1"/>
    <col min="40" max="40" width="3.44140625" customWidth="1"/>
    <col min="44" max="44" width="16" customWidth="1"/>
    <col min="45" max="45" width="13.6640625" customWidth="1"/>
    <col min="46" max="46" width="20.33203125" customWidth="1"/>
    <col min="47" max="47" width="11" customWidth="1"/>
    <col min="48" max="48" width="10.33203125" customWidth="1"/>
    <col min="49" max="49" width="9.109375" customWidth="1"/>
    <col min="50" max="50" width="13" customWidth="1"/>
    <col min="51" max="51" width="8" customWidth="1"/>
    <col min="52" max="52" width="13.6640625" customWidth="1"/>
    <col min="53" max="53" width="11.5546875" bestFit="1" customWidth="1"/>
    <col min="54" max="54" width="17.77734375" customWidth="1"/>
    <col min="55" max="55" width="13.88671875" customWidth="1"/>
    <col min="56" max="56" width="15.21875" customWidth="1"/>
    <col min="57" max="57" width="12.77734375" customWidth="1"/>
  </cols>
  <sheetData>
    <row r="1" spans="1:62" x14ac:dyDescent="0.3">
      <c r="AP1" s="31"/>
      <c r="BF1" s="31"/>
      <c r="BG1" s="31"/>
      <c r="BH1" s="31"/>
      <c r="BI1" s="31"/>
      <c r="BJ1" s="31"/>
    </row>
    <row r="2" spans="1:62" x14ac:dyDescent="0.3">
      <c r="AP2" s="31"/>
      <c r="BF2" s="31"/>
      <c r="BG2" s="31"/>
      <c r="BH2" s="31"/>
      <c r="BI2" s="31"/>
      <c r="BJ2" s="31"/>
    </row>
    <row r="3" spans="1:62" x14ac:dyDescent="0.3">
      <c r="AP3" s="31"/>
      <c r="BF3" s="31"/>
      <c r="BG3" s="31"/>
      <c r="BH3" s="31"/>
      <c r="BI3" s="31"/>
      <c r="BJ3" s="31"/>
    </row>
    <row r="4" spans="1:62" x14ac:dyDescent="0.3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</row>
    <row r="5" spans="1:62" x14ac:dyDescent="0.3">
      <c r="A5" s="31"/>
      <c r="B5" s="31"/>
      <c r="C5" s="31"/>
      <c r="D5" s="31"/>
      <c r="E5" s="35" t="str">
        <f>TEXT(G5,"mmmm")</f>
        <v>July</v>
      </c>
      <c r="F5" s="35" t="s">
        <v>26</v>
      </c>
      <c r="G5" s="36">
        <v>45839</v>
      </c>
      <c r="H5" s="37">
        <f>(DATEDIF($G$5,$J$5,"D"))+1</f>
        <v>31</v>
      </c>
      <c r="I5" s="35" t="s">
        <v>27</v>
      </c>
      <c r="J5" s="36">
        <f>EOMONTH(G5,0)</f>
        <v>45869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</row>
    <row r="6" spans="1:62" ht="15" thickBot="1" x14ac:dyDescent="0.35">
      <c r="A6" s="31"/>
      <c r="B6" s="31"/>
      <c r="C6" s="31"/>
      <c r="D6" s="31"/>
      <c r="E6" s="32"/>
      <c r="F6" s="32"/>
      <c r="G6" s="32"/>
      <c r="H6" s="32"/>
      <c r="I6" s="32"/>
      <c r="J6" s="33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1"/>
      <c r="BH6" s="31"/>
      <c r="BI6" s="31"/>
      <c r="BJ6" s="31"/>
    </row>
    <row r="7" spans="1:62" ht="15" thickBot="1" x14ac:dyDescent="0.35">
      <c r="C7" s="31"/>
      <c r="D7" s="31"/>
      <c r="E7" s="32"/>
      <c r="F7" s="5"/>
      <c r="G7" s="6" t="s">
        <v>29</v>
      </c>
      <c r="H7" s="7"/>
      <c r="I7" s="5" t="s">
        <v>28</v>
      </c>
      <c r="J7" s="23" t="str">
        <f>TEXT(J8,"DDD")</f>
        <v>Tue</v>
      </c>
      <c r="K7" s="23" t="str">
        <f>TEXT(K8,"DDD")</f>
        <v>Wed</v>
      </c>
      <c r="L7" s="23" t="str">
        <f t="shared" ref="L7:AI7" si="0">TEXT(L8,"DDD")</f>
        <v>Thu</v>
      </c>
      <c r="M7" s="23" t="str">
        <f t="shared" si="0"/>
        <v>Fri</v>
      </c>
      <c r="N7" s="23" t="str">
        <f t="shared" si="0"/>
        <v>Sat</v>
      </c>
      <c r="O7" s="23" t="str">
        <f t="shared" si="0"/>
        <v>Sun</v>
      </c>
      <c r="P7" s="23" t="str">
        <f t="shared" si="0"/>
        <v>Mon</v>
      </c>
      <c r="Q7" s="23" t="str">
        <f t="shared" si="0"/>
        <v>Tue</v>
      </c>
      <c r="R7" s="23" t="str">
        <f t="shared" si="0"/>
        <v>Wed</v>
      </c>
      <c r="S7" s="23" t="str">
        <f t="shared" si="0"/>
        <v>Thu</v>
      </c>
      <c r="T7" s="23" t="str">
        <f t="shared" si="0"/>
        <v>Fri</v>
      </c>
      <c r="U7" s="23" t="str">
        <f t="shared" si="0"/>
        <v>Sat</v>
      </c>
      <c r="V7" s="23" t="str">
        <f t="shared" si="0"/>
        <v>Sun</v>
      </c>
      <c r="W7" s="23" t="str">
        <f t="shared" si="0"/>
        <v>Mon</v>
      </c>
      <c r="X7" s="23" t="str">
        <f t="shared" si="0"/>
        <v>Tue</v>
      </c>
      <c r="Y7" s="23" t="str">
        <f t="shared" si="0"/>
        <v>Wed</v>
      </c>
      <c r="Z7" s="23" t="str">
        <f t="shared" si="0"/>
        <v>Thu</v>
      </c>
      <c r="AA7" s="23" t="str">
        <f t="shared" si="0"/>
        <v>Fri</v>
      </c>
      <c r="AB7" s="23" t="str">
        <f t="shared" si="0"/>
        <v>Sat</v>
      </c>
      <c r="AC7" s="23" t="str">
        <f t="shared" si="0"/>
        <v>Sun</v>
      </c>
      <c r="AD7" s="23" t="str">
        <f t="shared" si="0"/>
        <v>Mon</v>
      </c>
      <c r="AE7" s="23" t="str">
        <f t="shared" si="0"/>
        <v>Tue</v>
      </c>
      <c r="AF7" s="23" t="str">
        <f t="shared" si="0"/>
        <v>Wed</v>
      </c>
      <c r="AG7" s="23" t="str">
        <f t="shared" si="0"/>
        <v>Thu</v>
      </c>
      <c r="AH7" s="23" t="str">
        <f t="shared" si="0"/>
        <v>Fri</v>
      </c>
      <c r="AI7" s="23" t="str">
        <f t="shared" si="0"/>
        <v>Sat</v>
      </c>
      <c r="AJ7" s="23" t="str">
        <f>TEXT(AJ8,"DDD")</f>
        <v>Sun</v>
      </c>
      <c r="AK7" s="23" t="str">
        <f>TEXT(AK8,"DDD")</f>
        <v>Mon</v>
      </c>
      <c r="AL7" s="23" t="str">
        <f t="shared" ref="AL7:AN7" si="1">TEXT(AL8,"DDD")</f>
        <v>Tue</v>
      </c>
      <c r="AM7" s="23" t="str">
        <f t="shared" si="1"/>
        <v>Wed</v>
      </c>
      <c r="AN7" s="24" t="str">
        <f t="shared" si="1"/>
        <v>Thu</v>
      </c>
      <c r="AO7" s="32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1"/>
      <c r="BH7" s="31"/>
      <c r="BI7" s="31"/>
      <c r="BJ7" s="31"/>
    </row>
    <row r="8" spans="1:62" ht="18.600000000000001" thickBot="1" x14ac:dyDescent="0.4">
      <c r="C8" s="31"/>
      <c r="D8" s="31"/>
      <c r="E8" s="32"/>
      <c r="F8" s="12" t="s">
        <v>23</v>
      </c>
      <c r="G8" s="13" t="s">
        <v>2</v>
      </c>
      <c r="H8" s="14" t="s">
        <v>24</v>
      </c>
      <c r="I8" s="25" t="s">
        <v>25</v>
      </c>
      <c r="J8" s="26">
        <f>G5</f>
        <v>45839</v>
      </c>
      <c r="K8" s="26">
        <f>IF(J8&lt;$J$5,J8+1,"")</f>
        <v>45840</v>
      </c>
      <c r="L8" s="26">
        <f t="shared" ref="L8:AN8" si="2">IF(K8&lt;$J$5,K8+1,"")</f>
        <v>45841</v>
      </c>
      <c r="M8" s="26">
        <f t="shared" si="2"/>
        <v>45842</v>
      </c>
      <c r="N8" s="26">
        <f t="shared" si="2"/>
        <v>45843</v>
      </c>
      <c r="O8" s="26">
        <f t="shared" si="2"/>
        <v>45844</v>
      </c>
      <c r="P8" s="26">
        <f t="shared" si="2"/>
        <v>45845</v>
      </c>
      <c r="Q8" s="26">
        <f t="shared" si="2"/>
        <v>45846</v>
      </c>
      <c r="R8" s="26">
        <f t="shared" si="2"/>
        <v>45847</v>
      </c>
      <c r="S8" s="26">
        <f t="shared" si="2"/>
        <v>45848</v>
      </c>
      <c r="T8" s="26">
        <f t="shared" si="2"/>
        <v>45849</v>
      </c>
      <c r="U8" s="26">
        <f t="shared" si="2"/>
        <v>45850</v>
      </c>
      <c r="V8" s="26">
        <f t="shared" si="2"/>
        <v>45851</v>
      </c>
      <c r="W8" s="26">
        <f t="shared" si="2"/>
        <v>45852</v>
      </c>
      <c r="X8" s="26">
        <f t="shared" si="2"/>
        <v>45853</v>
      </c>
      <c r="Y8" s="26">
        <f t="shared" si="2"/>
        <v>45854</v>
      </c>
      <c r="Z8" s="26">
        <f t="shared" si="2"/>
        <v>45855</v>
      </c>
      <c r="AA8" s="26">
        <f t="shared" si="2"/>
        <v>45856</v>
      </c>
      <c r="AB8" s="26">
        <f t="shared" si="2"/>
        <v>45857</v>
      </c>
      <c r="AC8" s="26">
        <f t="shared" si="2"/>
        <v>45858</v>
      </c>
      <c r="AD8" s="26">
        <f t="shared" si="2"/>
        <v>45859</v>
      </c>
      <c r="AE8" s="26">
        <f t="shared" si="2"/>
        <v>45860</v>
      </c>
      <c r="AF8" s="26">
        <f t="shared" si="2"/>
        <v>45861</v>
      </c>
      <c r="AG8" s="26">
        <f t="shared" si="2"/>
        <v>45862</v>
      </c>
      <c r="AH8" s="26">
        <f t="shared" si="2"/>
        <v>45863</v>
      </c>
      <c r="AI8" s="26">
        <f t="shared" si="2"/>
        <v>45864</v>
      </c>
      <c r="AJ8" s="26">
        <f t="shared" si="2"/>
        <v>45865</v>
      </c>
      <c r="AK8" s="26">
        <f t="shared" si="2"/>
        <v>45866</v>
      </c>
      <c r="AL8" s="26">
        <f t="shared" si="2"/>
        <v>45867</v>
      </c>
      <c r="AM8" s="26">
        <f t="shared" si="2"/>
        <v>45868</v>
      </c>
      <c r="AN8" s="27">
        <f t="shared" si="2"/>
        <v>45869</v>
      </c>
      <c r="AO8" s="32"/>
      <c r="AP8" s="34"/>
      <c r="AQ8" s="38" t="s">
        <v>23</v>
      </c>
      <c r="AR8" s="38" t="s">
        <v>2</v>
      </c>
      <c r="AS8" s="38" t="s">
        <v>42</v>
      </c>
      <c r="AT8" s="39" t="s">
        <v>24</v>
      </c>
      <c r="AU8" s="40" t="s">
        <v>30</v>
      </c>
      <c r="AV8" s="38" t="s">
        <v>31</v>
      </c>
      <c r="AW8" s="38" t="s">
        <v>32</v>
      </c>
      <c r="AX8" s="38" t="s">
        <v>25</v>
      </c>
      <c r="AY8" s="38" t="s">
        <v>28</v>
      </c>
      <c r="AZ8" s="38" t="s">
        <v>33</v>
      </c>
      <c r="BA8" s="38" t="s">
        <v>34</v>
      </c>
      <c r="BB8" s="38" t="s">
        <v>35</v>
      </c>
      <c r="BC8" s="40" t="s">
        <v>36</v>
      </c>
      <c r="BD8" s="38" t="s">
        <v>37</v>
      </c>
      <c r="BE8" s="38" t="s">
        <v>41</v>
      </c>
      <c r="BF8" s="34"/>
      <c r="BG8" s="31"/>
      <c r="BH8" s="31"/>
      <c r="BI8" s="31"/>
      <c r="BJ8" s="31"/>
    </row>
    <row r="9" spans="1:62" x14ac:dyDescent="0.3">
      <c r="C9" s="31"/>
      <c r="D9" s="31"/>
      <c r="E9" s="32"/>
      <c r="F9" s="8">
        <v>1</v>
      </c>
      <c r="G9" s="9">
        <v>1001</v>
      </c>
      <c r="H9" s="15" t="s">
        <v>3</v>
      </c>
      <c r="I9" s="17">
        <f>COUNTIF($J$7:$AN$7,"Sun")</f>
        <v>4</v>
      </c>
      <c r="J9" s="18" t="s">
        <v>38</v>
      </c>
      <c r="K9" s="18" t="s">
        <v>38</v>
      </c>
      <c r="L9" s="18" t="s">
        <v>38</v>
      </c>
      <c r="M9" s="18" t="s">
        <v>38</v>
      </c>
      <c r="N9" s="18" t="s">
        <v>38</v>
      </c>
      <c r="O9" s="18" t="str">
        <f t="shared" ref="O9:AJ17" si="3">IF(O$7="Sun","WO","")</f>
        <v>WO</v>
      </c>
      <c r="P9" s="18" t="s">
        <v>38</v>
      </c>
      <c r="Q9" s="18" t="s">
        <v>38</v>
      </c>
      <c r="R9" s="18" t="s">
        <v>38</v>
      </c>
      <c r="S9" s="18" t="s">
        <v>38</v>
      </c>
      <c r="T9" s="18" t="s">
        <v>38</v>
      </c>
      <c r="U9" s="18" t="s">
        <v>38</v>
      </c>
      <c r="V9" s="18" t="str">
        <f t="shared" si="3"/>
        <v>WO</v>
      </c>
      <c r="W9" s="18" t="s">
        <v>38</v>
      </c>
      <c r="X9" s="18" t="s">
        <v>38</v>
      </c>
      <c r="Y9" s="18" t="s">
        <v>38</v>
      </c>
      <c r="Z9" s="18" t="s">
        <v>38</v>
      </c>
      <c r="AA9" s="18" t="s">
        <v>38</v>
      </c>
      <c r="AB9" s="18" t="s">
        <v>38</v>
      </c>
      <c r="AC9" s="18" t="str">
        <f t="shared" si="3"/>
        <v>WO</v>
      </c>
      <c r="AD9" s="18" t="s">
        <v>38</v>
      </c>
      <c r="AE9" s="18" t="s">
        <v>38</v>
      </c>
      <c r="AF9" s="18" t="s">
        <v>38</v>
      </c>
      <c r="AG9" s="18" t="s">
        <v>38</v>
      </c>
      <c r="AH9" s="18" t="s">
        <v>38</v>
      </c>
      <c r="AI9" s="18" t="s">
        <v>38</v>
      </c>
      <c r="AJ9" s="18" t="str">
        <f t="shared" si="3"/>
        <v>WO</v>
      </c>
      <c r="AK9" s="18" t="s">
        <v>38</v>
      </c>
      <c r="AL9" s="18" t="s">
        <v>38</v>
      </c>
      <c r="AM9" s="18" t="s">
        <v>38</v>
      </c>
      <c r="AN9" s="19" t="s">
        <v>38</v>
      </c>
      <c r="AO9" s="32"/>
      <c r="AP9" s="34"/>
      <c r="AQ9" s="9">
        <v>1</v>
      </c>
      <c r="AR9" s="9">
        <v>1001</v>
      </c>
      <c r="AS9" s="9" t="str">
        <f>$E$5</f>
        <v>July</v>
      </c>
      <c r="AT9" s="15" t="s">
        <v>3</v>
      </c>
      <c r="AU9" s="28">
        <f t="shared" ref="AU9:AU28" si="4">COUNTIF($J9:$AN9,"P")</f>
        <v>27</v>
      </c>
      <c r="AV9">
        <f t="shared" ref="AV9:AV28" si="5">COUNTIF($J9:$AN9,"A")</f>
        <v>0</v>
      </c>
      <c r="AW9">
        <f t="shared" ref="AW9:AW28" si="6">COUNTIF($J9:$AN9,"L")</f>
        <v>0</v>
      </c>
      <c r="AX9">
        <f>$I$9</f>
        <v>4</v>
      </c>
      <c r="AY9" s="29">
        <f>$H$5</f>
        <v>31</v>
      </c>
      <c r="AZ9" s="29">
        <f>AY9-AV9</f>
        <v>31</v>
      </c>
      <c r="BA9" s="30">
        <f ca="1">RANDBETWEEN(10000,50000)</f>
        <v>46265</v>
      </c>
      <c r="BB9" s="30">
        <f ca="1">BA9/AZ9</f>
        <v>1492.4193548387098</v>
      </c>
      <c r="BC9" s="30">
        <f ca="1">BB9*AV9</f>
        <v>0</v>
      </c>
      <c r="BD9" s="30">
        <f ca="1">BA9-BC9</f>
        <v>46265</v>
      </c>
      <c r="BF9" s="34"/>
      <c r="BG9" s="31"/>
      <c r="BH9" s="31"/>
      <c r="BI9" s="31"/>
      <c r="BJ9" s="31"/>
    </row>
    <row r="10" spans="1:62" x14ac:dyDescent="0.3">
      <c r="C10" s="31"/>
      <c r="D10" s="31"/>
      <c r="E10" s="32"/>
      <c r="F10" s="8">
        <v>2</v>
      </c>
      <c r="G10" s="9">
        <v>1002</v>
      </c>
      <c r="H10" s="15" t="s">
        <v>4</v>
      </c>
      <c r="I10" s="17">
        <f t="shared" ref="I10:I28" si="7">COUNTIF($J$7:$AN$7,"Sun")</f>
        <v>4</v>
      </c>
      <c r="J10" s="18" t="s">
        <v>38</v>
      </c>
      <c r="K10" s="18" t="s">
        <v>38</v>
      </c>
      <c r="L10" s="18" t="s">
        <v>39</v>
      </c>
      <c r="M10" s="18" t="s">
        <v>38</v>
      </c>
      <c r="N10" s="18" t="s">
        <v>38</v>
      </c>
      <c r="O10" s="18" t="str">
        <f t="shared" si="3"/>
        <v>WO</v>
      </c>
      <c r="P10" s="18" t="s">
        <v>38</v>
      </c>
      <c r="Q10" s="18" t="s">
        <v>38</v>
      </c>
      <c r="R10" s="18" t="s">
        <v>39</v>
      </c>
      <c r="S10" s="18" t="s">
        <v>38</v>
      </c>
      <c r="T10" s="18" t="s">
        <v>38</v>
      </c>
      <c r="U10" s="18" t="s">
        <v>38</v>
      </c>
      <c r="V10" s="18" t="str">
        <f t="shared" si="3"/>
        <v>WO</v>
      </c>
      <c r="W10" s="18" t="s">
        <v>38</v>
      </c>
      <c r="X10" s="18" t="s">
        <v>38</v>
      </c>
      <c r="Y10" s="18" t="s">
        <v>39</v>
      </c>
      <c r="Z10" s="18" t="s">
        <v>38</v>
      </c>
      <c r="AA10" s="18" t="s">
        <v>38</v>
      </c>
      <c r="AB10" s="18" t="s">
        <v>38</v>
      </c>
      <c r="AC10" s="18" t="str">
        <f t="shared" si="3"/>
        <v>WO</v>
      </c>
      <c r="AD10" s="18" t="s">
        <v>38</v>
      </c>
      <c r="AE10" s="18" t="s">
        <v>38</v>
      </c>
      <c r="AF10" s="18" t="s">
        <v>39</v>
      </c>
      <c r="AG10" s="18" t="s">
        <v>38</v>
      </c>
      <c r="AH10" s="18" t="s">
        <v>38</v>
      </c>
      <c r="AI10" s="18" t="s">
        <v>38</v>
      </c>
      <c r="AJ10" s="18" t="str">
        <f t="shared" si="3"/>
        <v>WO</v>
      </c>
      <c r="AK10" s="18" t="s">
        <v>38</v>
      </c>
      <c r="AL10" s="18" t="s">
        <v>38</v>
      </c>
      <c r="AM10" s="18" t="s">
        <v>39</v>
      </c>
      <c r="AN10" s="19" t="s">
        <v>38</v>
      </c>
      <c r="AO10" s="32"/>
      <c r="AP10" s="34"/>
      <c r="AQ10" s="9">
        <v>2</v>
      </c>
      <c r="AR10" s="9">
        <v>1002</v>
      </c>
      <c r="AS10" s="9" t="str">
        <f t="shared" ref="AS10:AS28" si="8">$E$5</f>
        <v>July</v>
      </c>
      <c r="AT10" s="15" t="s">
        <v>4</v>
      </c>
      <c r="AU10" s="28">
        <f t="shared" si="4"/>
        <v>22</v>
      </c>
      <c r="AV10">
        <f t="shared" si="5"/>
        <v>5</v>
      </c>
      <c r="AW10">
        <f t="shared" si="6"/>
        <v>0</v>
      </c>
      <c r="AX10">
        <f t="shared" ref="AX10:AX28" si="9">$I$9</f>
        <v>4</v>
      </c>
      <c r="AY10" s="29">
        <f t="shared" ref="AY10:AY28" si="10">$H$5</f>
        <v>31</v>
      </c>
      <c r="AZ10" s="29">
        <f t="shared" ref="AZ10:AZ28" si="11">AY10-AV10</f>
        <v>26</v>
      </c>
      <c r="BA10" s="30">
        <f t="shared" ref="BA10:BA28" ca="1" si="12">RANDBETWEEN(10000,50000)</f>
        <v>21862</v>
      </c>
      <c r="BB10" s="30">
        <f t="shared" ref="BB10:BB28" ca="1" si="13">BA10/AZ10</f>
        <v>840.84615384615381</v>
      </c>
      <c r="BC10" s="30">
        <f t="shared" ref="BC10:BC28" ca="1" si="14">BB10*AV10</f>
        <v>4204.2307692307695</v>
      </c>
      <c r="BD10" s="30">
        <f t="shared" ref="BD10:BD28" ca="1" si="15">BA10-BC10</f>
        <v>17657.76923076923</v>
      </c>
      <c r="BF10" s="34"/>
      <c r="BG10" s="31"/>
      <c r="BH10" s="31"/>
      <c r="BI10" s="31"/>
      <c r="BJ10" s="31"/>
    </row>
    <row r="11" spans="1:62" x14ac:dyDescent="0.3">
      <c r="C11" s="31"/>
      <c r="D11" s="31"/>
      <c r="E11" s="32"/>
      <c r="F11" s="8">
        <v>3</v>
      </c>
      <c r="G11" s="9">
        <v>1003</v>
      </c>
      <c r="H11" s="15" t="s">
        <v>5</v>
      </c>
      <c r="I11" s="17">
        <f t="shared" si="7"/>
        <v>4</v>
      </c>
      <c r="J11" s="18" t="s">
        <v>38</v>
      </c>
      <c r="K11" s="18" t="s">
        <v>39</v>
      </c>
      <c r="L11" s="18" t="s">
        <v>38</v>
      </c>
      <c r="M11" s="18" t="s">
        <v>38</v>
      </c>
      <c r="N11" s="18" t="s">
        <v>39</v>
      </c>
      <c r="O11" s="18" t="str">
        <f t="shared" si="3"/>
        <v>WO</v>
      </c>
      <c r="P11" s="18" t="s">
        <v>38</v>
      </c>
      <c r="Q11" s="18" t="s">
        <v>39</v>
      </c>
      <c r="R11" s="18" t="s">
        <v>38</v>
      </c>
      <c r="S11" s="18" t="s">
        <v>38</v>
      </c>
      <c r="T11" s="18" t="s">
        <v>39</v>
      </c>
      <c r="U11" s="18" t="s">
        <v>39</v>
      </c>
      <c r="V11" s="18" t="str">
        <f t="shared" si="3"/>
        <v>WO</v>
      </c>
      <c r="W11" s="18" t="s">
        <v>38</v>
      </c>
      <c r="X11" s="18" t="s">
        <v>39</v>
      </c>
      <c r="Y11" s="18" t="s">
        <v>38</v>
      </c>
      <c r="Z11" s="18" t="s">
        <v>38</v>
      </c>
      <c r="AA11" s="18" t="s">
        <v>39</v>
      </c>
      <c r="AB11" s="18" t="s">
        <v>39</v>
      </c>
      <c r="AC11" s="18" t="str">
        <f t="shared" si="3"/>
        <v>WO</v>
      </c>
      <c r="AD11" s="18" t="s">
        <v>38</v>
      </c>
      <c r="AE11" s="18" t="s">
        <v>39</v>
      </c>
      <c r="AF11" s="18" t="s">
        <v>38</v>
      </c>
      <c r="AG11" s="18" t="s">
        <v>38</v>
      </c>
      <c r="AH11" s="18" t="s">
        <v>39</v>
      </c>
      <c r="AI11" s="18" t="s">
        <v>39</v>
      </c>
      <c r="AJ11" s="18" t="str">
        <f t="shared" si="3"/>
        <v>WO</v>
      </c>
      <c r="AK11" s="18" t="s">
        <v>38</v>
      </c>
      <c r="AL11" s="18" t="s">
        <v>39</v>
      </c>
      <c r="AM11" s="18" t="s">
        <v>38</v>
      </c>
      <c r="AN11" s="19" t="s">
        <v>38</v>
      </c>
      <c r="AO11" s="32"/>
      <c r="AP11" s="34"/>
      <c r="AQ11" s="9">
        <v>3</v>
      </c>
      <c r="AR11" s="9">
        <v>1003</v>
      </c>
      <c r="AS11" s="9" t="str">
        <f t="shared" si="8"/>
        <v>July</v>
      </c>
      <c r="AT11" s="15" t="s">
        <v>5</v>
      </c>
      <c r="AU11" s="28">
        <f t="shared" si="4"/>
        <v>15</v>
      </c>
      <c r="AV11">
        <f t="shared" si="5"/>
        <v>12</v>
      </c>
      <c r="AW11">
        <f t="shared" si="6"/>
        <v>0</v>
      </c>
      <c r="AX11">
        <f t="shared" si="9"/>
        <v>4</v>
      </c>
      <c r="AY11" s="29">
        <f t="shared" si="10"/>
        <v>31</v>
      </c>
      <c r="AZ11" s="29">
        <f t="shared" si="11"/>
        <v>19</v>
      </c>
      <c r="BA11" s="30">
        <f t="shared" ca="1" si="12"/>
        <v>32467</v>
      </c>
      <c r="BB11" s="30">
        <f t="shared" ca="1" si="13"/>
        <v>1708.7894736842106</v>
      </c>
      <c r="BC11" s="30">
        <f t="shared" ca="1" si="14"/>
        <v>20505.473684210527</v>
      </c>
      <c r="BD11" s="30">
        <f t="shared" ca="1" si="15"/>
        <v>11961.526315789473</v>
      </c>
      <c r="BF11" s="34"/>
      <c r="BG11" s="31"/>
      <c r="BH11" s="31"/>
      <c r="BI11" s="31"/>
      <c r="BJ11" s="31"/>
    </row>
    <row r="12" spans="1:62" x14ac:dyDescent="0.3">
      <c r="C12" s="31"/>
      <c r="D12" s="31"/>
      <c r="E12" s="32"/>
      <c r="F12" s="8">
        <v>4</v>
      </c>
      <c r="G12" s="9">
        <v>1004</v>
      </c>
      <c r="H12" s="15" t="s">
        <v>6</v>
      </c>
      <c r="I12" s="17">
        <f t="shared" si="7"/>
        <v>4</v>
      </c>
      <c r="J12" s="18" t="s">
        <v>38</v>
      </c>
      <c r="K12" s="18" t="s">
        <v>39</v>
      </c>
      <c r="L12" s="18" t="s">
        <v>38</v>
      </c>
      <c r="M12" s="18" t="s">
        <v>38</v>
      </c>
      <c r="N12" s="18" t="s">
        <v>38</v>
      </c>
      <c r="O12" s="18" t="str">
        <f t="shared" si="3"/>
        <v>WO</v>
      </c>
      <c r="P12" s="18" t="s">
        <v>38</v>
      </c>
      <c r="Q12" s="18" t="s">
        <v>39</v>
      </c>
      <c r="R12" s="18" t="s">
        <v>38</v>
      </c>
      <c r="S12" s="18" t="s">
        <v>38</v>
      </c>
      <c r="T12" s="18" t="s">
        <v>38</v>
      </c>
      <c r="U12" s="18" t="s">
        <v>38</v>
      </c>
      <c r="V12" s="18" t="str">
        <f t="shared" si="3"/>
        <v>WO</v>
      </c>
      <c r="W12" s="18" t="s">
        <v>38</v>
      </c>
      <c r="X12" s="18" t="s">
        <v>39</v>
      </c>
      <c r="Y12" s="18" t="s">
        <v>38</v>
      </c>
      <c r="Z12" s="18" t="s">
        <v>38</v>
      </c>
      <c r="AA12" s="18" t="s">
        <v>38</v>
      </c>
      <c r="AB12" s="18" t="s">
        <v>38</v>
      </c>
      <c r="AC12" s="18" t="str">
        <f t="shared" si="3"/>
        <v>WO</v>
      </c>
      <c r="AD12" s="18" t="s">
        <v>38</v>
      </c>
      <c r="AE12" s="18" t="s">
        <v>39</v>
      </c>
      <c r="AF12" s="18" t="s">
        <v>38</v>
      </c>
      <c r="AG12" s="18" t="s">
        <v>38</v>
      </c>
      <c r="AH12" s="18" t="s">
        <v>38</v>
      </c>
      <c r="AI12" s="18" t="s">
        <v>38</v>
      </c>
      <c r="AJ12" s="18" t="str">
        <f t="shared" si="3"/>
        <v>WO</v>
      </c>
      <c r="AK12" s="18" t="s">
        <v>38</v>
      </c>
      <c r="AL12" s="18" t="s">
        <v>39</v>
      </c>
      <c r="AM12" s="18" t="s">
        <v>38</v>
      </c>
      <c r="AN12" s="19" t="s">
        <v>38</v>
      </c>
      <c r="AO12" s="32"/>
      <c r="AP12" s="34"/>
      <c r="AQ12" s="9">
        <v>4</v>
      </c>
      <c r="AR12" s="9">
        <v>1004</v>
      </c>
      <c r="AS12" s="9" t="str">
        <f t="shared" si="8"/>
        <v>July</v>
      </c>
      <c r="AT12" s="15" t="s">
        <v>6</v>
      </c>
      <c r="AU12" s="28">
        <f t="shared" si="4"/>
        <v>22</v>
      </c>
      <c r="AV12">
        <f t="shared" si="5"/>
        <v>5</v>
      </c>
      <c r="AW12">
        <f t="shared" si="6"/>
        <v>0</v>
      </c>
      <c r="AX12">
        <f t="shared" si="9"/>
        <v>4</v>
      </c>
      <c r="AY12" s="29">
        <f t="shared" si="10"/>
        <v>31</v>
      </c>
      <c r="AZ12" s="29">
        <f t="shared" si="11"/>
        <v>26</v>
      </c>
      <c r="BA12" s="30">
        <f t="shared" ca="1" si="12"/>
        <v>16573</v>
      </c>
      <c r="BB12" s="30">
        <f t="shared" ca="1" si="13"/>
        <v>637.42307692307691</v>
      </c>
      <c r="BC12" s="30">
        <f t="shared" ca="1" si="14"/>
        <v>3187.1153846153848</v>
      </c>
      <c r="BD12" s="30">
        <f t="shared" ca="1" si="15"/>
        <v>13385.884615384615</v>
      </c>
      <c r="BF12" s="34"/>
      <c r="BG12" s="31"/>
      <c r="BH12" s="31"/>
      <c r="BI12" s="31"/>
      <c r="BJ12" s="31"/>
    </row>
    <row r="13" spans="1:62" x14ac:dyDescent="0.3">
      <c r="C13" s="31"/>
      <c r="D13" s="31"/>
      <c r="E13" s="32"/>
      <c r="F13" s="8">
        <v>5</v>
      </c>
      <c r="G13" s="9">
        <v>1005</v>
      </c>
      <c r="H13" s="15" t="s">
        <v>7</v>
      </c>
      <c r="I13" s="17">
        <f t="shared" si="7"/>
        <v>4</v>
      </c>
      <c r="J13" s="18" t="s">
        <v>38</v>
      </c>
      <c r="K13" s="18" t="s">
        <v>38</v>
      </c>
      <c r="L13" s="18" t="s">
        <v>39</v>
      </c>
      <c r="M13" s="18" t="s">
        <v>38</v>
      </c>
      <c r="N13" s="18" t="s">
        <v>39</v>
      </c>
      <c r="O13" s="18" t="str">
        <f t="shared" si="3"/>
        <v>WO</v>
      </c>
      <c r="P13" s="18" t="s">
        <v>38</v>
      </c>
      <c r="Q13" s="18" t="s">
        <v>38</v>
      </c>
      <c r="R13" s="18" t="s">
        <v>39</v>
      </c>
      <c r="S13" s="18" t="s">
        <v>38</v>
      </c>
      <c r="T13" s="18" t="s">
        <v>39</v>
      </c>
      <c r="U13" s="18" t="s">
        <v>39</v>
      </c>
      <c r="V13" s="18" t="str">
        <f t="shared" si="3"/>
        <v>WO</v>
      </c>
      <c r="W13" s="18" t="s">
        <v>38</v>
      </c>
      <c r="X13" s="18" t="s">
        <v>38</v>
      </c>
      <c r="Y13" s="18" t="s">
        <v>39</v>
      </c>
      <c r="Z13" s="18" t="s">
        <v>38</v>
      </c>
      <c r="AA13" s="18" t="s">
        <v>39</v>
      </c>
      <c r="AB13" s="18" t="s">
        <v>39</v>
      </c>
      <c r="AC13" s="18" t="str">
        <f t="shared" si="3"/>
        <v>WO</v>
      </c>
      <c r="AD13" s="18" t="s">
        <v>38</v>
      </c>
      <c r="AE13" s="18" t="s">
        <v>38</v>
      </c>
      <c r="AF13" s="18" t="s">
        <v>39</v>
      </c>
      <c r="AG13" s="18" t="s">
        <v>38</v>
      </c>
      <c r="AH13" s="18" t="s">
        <v>39</v>
      </c>
      <c r="AI13" s="18" t="s">
        <v>39</v>
      </c>
      <c r="AJ13" s="18" t="str">
        <f t="shared" si="3"/>
        <v>WO</v>
      </c>
      <c r="AK13" s="18" t="s">
        <v>38</v>
      </c>
      <c r="AL13" s="18" t="s">
        <v>38</v>
      </c>
      <c r="AM13" s="18" t="s">
        <v>39</v>
      </c>
      <c r="AN13" s="19" t="s">
        <v>38</v>
      </c>
      <c r="AO13" s="32"/>
      <c r="AP13" s="34"/>
      <c r="AQ13" s="9">
        <v>5</v>
      </c>
      <c r="AR13" s="9">
        <v>1005</v>
      </c>
      <c r="AS13" s="9" t="str">
        <f t="shared" si="8"/>
        <v>July</v>
      </c>
      <c r="AT13" s="15" t="s">
        <v>7</v>
      </c>
      <c r="AU13" s="28">
        <f t="shared" si="4"/>
        <v>15</v>
      </c>
      <c r="AV13">
        <f t="shared" si="5"/>
        <v>12</v>
      </c>
      <c r="AW13">
        <f t="shared" si="6"/>
        <v>0</v>
      </c>
      <c r="AX13">
        <f t="shared" si="9"/>
        <v>4</v>
      </c>
      <c r="AY13" s="29">
        <f t="shared" si="10"/>
        <v>31</v>
      </c>
      <c r="AZ13" s="29">
        <f t="shared" si="11"/>
        <v>19</v>
      </c>
      <c r="BA13" s="30">
        <f t="shared" ca="1" si="12"/>
        <v>24135</v>
      </c>
      <c r="BB13" s="30">
        <f t="shared" ca="1" si="13"/>
        <v>1270.2631578947369</v>
      </c>
      <c r="BC13" s="30">
        <f t="shared" ca="1" si="14"/>
        <v>15243.157894736843</v>
      </c>
      <c r="BD13" s="30">
        <f t="shared" ca="1" si="15"/>
        <v>8891.8421052631566</v>
      </c>
      <c r="BF13" s="34"/>
      <c r="BG13" s="31"/>
      <c r="BH13" s="31"/>
      <c r="BI13" s="31"/>
      <c r="BJ13" s="31"/>
    </row>
    <row r="14" spans="1:62" x14ac:dyDescent="0.3">
      <c r="C14" s="31"/>
      <c r="D14" s="31"/>
      <c r="E14" s="32"/>
      <c r="F14" s="8">
        <v>6</v>
      </c>
      <c r="G14" s="9">
        <v>1006</v>
      </c>
      <c r="H14" s="15" t="s">
        <v>8</v>
      </c>
      <c r="I14" s="17">
        <f t="shared" si="7"/>
        <v>4</v>
      </c>
      <c r="J14" s="18" t="s">
        <v>38</v>
      </c>
      <c r="K14" s="18" t="s">
        <v>38</v>
      </c>
      <c r="L14" s="18" t="s">
        <v>39</v>
      </c>
      <c r="M14" s="18" t="s">
        <v>38</v>
      </c>
      <c r="N14" s="18" t="s">
        <v>38</v>
      </c>
      <c r="O14" s="18" t="str">
        <f t="shared" si="3"/>
        <v>WO</v>
      </c>
      <c r="P14" s="18" t="s">
        <v>38</v>
      </c>
      <c r="Q14" s="18" t="s">
        <v>38</v>
      </c>
      <c r="R14" s="18" t="s">
        <v>39</v>
      </c>
      <c r="S14" s="18" t="s">
        <v>38</v>
      </c>
      <c r="T14" s="18" t="s">
        <v>38</v>
      </c>
      <c r="U14" s="18" t="s">
        <v>38</v>
      </c>
      <c r="V14" s="18" t="str">
        <f t="shared" si="3"/>
        <v>WO</v>
      </c>
      <c r="W14" s="18" t="s">
        <v>38</v>
      </c>
      <c r="X14" s="18" t="s">
        <v>38</v>
      </c>
      <c r="Y14" s="18" t="s">
        <v>39</v>
      </c>
      <c r="Z14" s="18" t="s">
        <v>38</v>
      </c>
      <c r="AA14" s="18" t="s">
        <v>38</v>
      </c>
      <c r="AB14" s="18" t="s">
        <v>38</v>
      </c>
      <c r="AC14" s="18" t="str">
        <f t="shared" si="3"/>
        <v>WO</v>
      </c>
      <c r="AD14" s="18" t="s">
        <v>38</v>
      </c>
      <c r="AE14" s="18" t="s">
        <v>38</v>
      </c>
      <c r="AF14" s="18" t="s">
        <v>39</v>
      </c>
      <c r="AG14" s="18" t="s">
        <v>38</v>
      </c>
      <c r="AH14" s="18" t="s">
        <v>38</v>
      </c>
      <c r="AI14" s="18" t="s">
        <v>38</v>
      </c>
      <c r="AJ14" s="18" t="str">
        <f t="shared" si="3"/>
        <v>WO</v>
      </c>
      <c r="AK14" s="18" t="s">
        <v>38</v>
      </c>
      <c r="AL14" s="18" t="s">
        <v>38</v>
      </c>
      <c r="AM14" s="18" t="s">
        <v>39</v>
      </c>
      <c r="AN14" s="19" t="s">
        <v>38</v>
      </c>
      <c r="AO14" s="32"/>
      <c r="AP14" s="34"/>
      <c r="AQ14" s="9">
        <v>6</v>
      </c>
      <c r="AR14" s="9">
        <v>1006</v>
      </c>
      <c r="AS14" s="9" t="str">
        <f t="shared" si="8"/>
        <v>July</v>
      </c>
      <c r="AT14" s="15" t="s">
        <v>8</v>
      </c>
      <c r="AU14" s="28">
        <f t="shared" si="4"/>
        <v>22</v>
      </c>
      <c r="AV14">
        <f t="shared" si="5"/>
        <v>5</v>
      </c>
      <c r="AW14">
        <f t="shared" si="6"/>
        <v>0</v>
      </c>
      <c r="AX14">
        <f t="shared" si="9"/>
        <v>4</v>
      </c>
      <c r="AY14" s="29">
        <f t="shared" si="10"/>
        <v>31</v>
      </c>
      <c r="AZ14" s="29">
        <f t="shared" si="11"/>
        <v>26</v>
      </c>
      <c r="BA14" s="30">
        <f t="shared" ca="1" si="12"/>
        <v>22857</v>
      </c>
      <c r="BB14" s="30">
        <f t="shared" ca="1" si="13"/>
        <v>879.11538461538464</v>
      </c>
      <c r="BC14" s="30">
        <f t="shared" ca="1" si="14"/>
        <v>4395.5769230769229</v>
      </c>
      <c r="BD14" s="30">
        <f t="shared" ca="1" si="15"/>
        <v>18461.423076923078</v>
      </c>
      <c r="BF14" s="34"/>
      <c r="BG14" s="31"/>
      <c r="BH14" s="31"/>
      <c r="BI14" s="31"/>
      <c r="BJ14" s="31"/>
    </row>
    <row r="15" spans="1:62" x14ac:dyDescent="0.3">
      <c r="C15" s="31"/>
      <c r="D15" s="31"/>
      <c r="E15" s="32"/>
      <c r="F15" s="8">
        <v>7</v>
      </c>
      <c r="G15" s="9">
        <v>1007</v>
      </c>
      <c r="H15" s="15" t="s">
        <v>9</v>
      </c>
      <c r="I15" s="17">
        <f t="shared" si="7"/>
        <v>4</v>
      </c>
      <c r="J15" s="18" t="s">
        <v>38</v>
      </c>
      <c r="K15" s="18" t="s">
        <v>38</v>
      </c>
      <c r="L15" s="18" t="s">
        <v>38</v>
      </c>
      <c r="M15" s="18" t="s">
        <v>38</v>
      </c>
      <c r="N15" s="18" t="s">
        <v>38</v>
      </c>
      <c r="O15" s="18" t="str">
        <f t="shared" si="3"/>
        <v>WO</v>
      </c>
      <c r="P15" s="18" t="s">
        <v>38</v>
      </c>
      <c r="Q15" s="18" t="s">
        <v>38</v>
      </c>
      <c r="R15" s="18" t="s">
        <v>38</v>
      </c>
      <c r="S15" s="18" t="s">
        <v>38</v>
      </c>
      <c r="T15" s="18" t="s">
        <v>38</v>
      </c>
      <c r="U15" s="18" t="s">
        <v>38</v>
      </c>
      <c r="V15" s="18" t="str">
        <f t="shared" si="3"/>
        <v>WO</v>
      </c>
      <c r="W15" s="18" t="s">
        <v>38</v>
      </c>
      <c r="X15" s="18" t="s">
        <v>38</v>
      </c>
      <c r="Y15" s="18" t="s">
        <v>38</v>
      </c>
      <c r="Z15" s="18" t="s">
        <v>38</v>
      </c>
      <c r="AA15" s="18" t="s">
        <v>38</v>
      </c>
      <c r="AB15" s="18" t="s">
        <v>38</v>
      </c>
      <c r="AC15" s="18" t="str">
        <f t="shared" si="3"/>
        <v>WO</v>
      </c>
      <c r="AD15" s="18" t="s">
        <v>38</v>
      </c>
      <c r="AE15" s="18" t="s">
        <v>38</v>
      </c>
      <c r="AF15" s="18" t="s">
        <v>38</v>
      </c>
      <c r="AG15" s="18" t="s">
        <v>38</v>
      </c>
      <c r="AH15" s="18" t="s">
        <v>38</v>
      </c>
      <c r="AI15" s="18" t="s">
        <v>38</v>
      </c>
      <c r="AJ15" s="18" t="str">
        <f t="shared" si="3"/>
        <v>WO</v>
      </c>
      <c r="AK15" s="18" t="s">
        <v>38</v>
      </c>
      <c r="AL15" s="18" t="s">
        <v>38</v>
      </c>
      <c r="AM15" s="18" t="s">
        <v>38</v>
      </c>
      <c r="AN15" s="19" t="s">
        <v>38</v>
      </c>
      <c r="AO15" s="32"/>
      <c r="AP15" s="34"/>
      <c r="AQ15" s="9">
        <v>7</v>
      </c>
      <c r="AR15" s="9">
        <v>1007</v>
      </c>
      <c r="AS15" s="9" t="str">
        <f t="shared" si="8"/>
        <v>July</v>
      </c>
      <c r="AT15" s="15" t="s">
        <v>9</v>
      </c>
      <c r="AU15" s="28">
        <f t="shared" si="4"/>
        <v>27</v>
      </c>
      <c r="AV15">
        <f t="shared" si="5"/>
        <v>0</v>
      </c>
      <c r="AW15">
        <f t="shared" si="6"/>
        <v>0</v>
      </c>
      <c r="AX15">
        <f t="shared" si="9"/>
        <v>4</v>
      </c>
      <c r="AY15" s="29">
        <f t="shared" si="10"/>
        <v>31</v>
      </c>
      <c r="AZ15" s="29">
        <f t="shared" si="11"/>
        <v>31</v>
      </c>
      <c r="BA15" s="30">
        <f t="shared" ca="1" si="12"/>
        <v>20272</v>
      </c>
      <c r="BB15" s="30">
        <f t="shared" ca="1" si="13"/>
        <v>653.93548387096769</v>
      </c>
      <c r="BC15" s="30">
        <f t="shared" ca="1" si="14"/>
        <v>0</v>
      </c>
      <c r="BD15" s="30">
        <f t="shared" ca="1" si="15"/>
        <v>20272</v>
      </c>
      <c r="BF15" s="34"/>
      <c r="BG15" s="31"/>
      <c r="BH15" s="31"/>
      <c r="BI15" s="31"/>
      <c r="BJ15" s="31"/>
    </row>
    <row r="16" spans="1:62" x14ac:dyDescent="0.3">
      <c r="C16" s="31"/>
      <c r="D16" s="31"/>
      <c r="E16" s="32"/>
      <c r="F16" s="8">
        <v>8</v>
      </c>
      <c r="G16" s="9">
        <v>1008</v>
      </c>
      <c r="H16" s="15" t="s">
        <v>10</v>
      </c>
      <c r="I16" s="17">
        <f t="shared" si="7"/>
        <v>4</v>
      </c>
      <c r="J16" s="18" t="s">
        <v>38</v>
      </c>
      <c r="K16" s="18" t="s">
        <v>39</v>
      </c>
      <c r="L16" s="18" t="s">
        <v>38</v>
      </c>
      <c r="M16" s="18" t="s">
        <v>38</v>
      </c>
      <c r="N16" s="18" t="s">
        <v>39</v>
      </c>
      <c r="O16" s="18" t="str">
        <f t="shared" si="3"/>
        <v>WO</v>
      </c>
      <c r="P16" s="18" t="s">
        <v>38</v>
      </c>
      <c r="Q16" s="18" t="s">
        <v>39</v>
      </c>
      <c r="R16" s="18" t="s">
        <v>38</v>
      </c>
      <c r="S16" s="18" t="s">
        <v>38</v>
      </c>
      <c r="T16" s="18" t="s">
        <v>39</v>
      </c>
      <c r="U16" s="18" t="s">
        <v>39</v>
      </c>
      <c r="V16" s="18" t="str">
        <f t="shared" si="3"/>
        <v>WO</v>
      </c>
      <c r="W16" s="18" t="s">
        <v>38</v>
      </c>
      <c r="X16" s="18" t="s">
        <v>39</v>
      </c>
      <c r="Y16" s="18" t="s">
        <v>38</v>
      </c>
      <c r="Z16" s="18" t="s">
        <v>38</v>
      </c>
      <c r="AA16" s="18" t="s">
        <v>39</v>
      </c>
      <c r="AB16" s="18" t="s">
        <v>39</v>
      </c>
      <c r="AC16" s="18" t="str">
        <f t="shared" si="3"/>
        <v>WO</v>
      </c>
      <c r="AD16" s="18" t="s">
        <v>38</v>
      </c>
      <c r="AE16" s="18" t="s">
        <v>39</v>
      </c>
      <c r="AF16" s="18" t="s">
        <v>38</v>
      </c>
      <c r="AG16" s="18" t="s">
        <v>38</v>
      </c>
      <c r="AH16" s="18" t="s">
        <v>39</v>
      </c>
      <c r="AI16" s="18" t="s">
        <v>39</v>
      </c>
      <c r="AJ16" s="18" t="str">
        <f t="shared" si="3"/>
        <v>WO</v>
      </c>
      <c r="AK16" s="18" t="s">
        <v>38</v>
      </c>
      <c r="AL16" s="18" t="s">
        <v>39</v>
      </c>
      <c r="AM16" s="18" t="s">
        <v>38</v>
      </c>
      <c r="AN16" s="19" t="s">
        <v>38</v>
      </c>
      <c r="AO16" s="32"/>
      <c r="AP16" s="34"/>
      <c r="AQ16" s="9">
        <v>8</v>
      </c>
      <c r="AR16" s="9">
        <v>1008</v>
      </c>
      <c r="AS16" s="9" t="str">
        <f t="shared" si="8"/>
        <v>July</v>
      </c>
      <c r="AT16" s="15" t="s">
        <v>10</v>
      </c>
      <c r="AU16" s="28">
        <f t="shared" si="4"/>
        <v>15</v>
      </c>
      <c r="AV16">
        <f t="shared" si="5"/>
        <v>12</v>
      </c>
      <c r="AW16">
        <f t="shared" si="6"/>
        <v>0</v>
      </c>
      <c r="AX16">
        <f t="shared" si="9"/>
        <v>4</v>
      </c>
      <c r="AY16" s="29">
        <f t="shared" si="10"/>
        <v>31</v>
      </c>
      <c r="AZ16" s="29">
        <f t="shared" si="11"/>
        <v>19</v>
      </c>
      <c r="BA16" s="30">
        <f t="shared" ca="1" si="12"/>
        <v>30220</v>
      </c>
      <c r="BB16" s="30">
        <f t="shared" ca="1" si="13"/>
        <v>1590.5263157894738</v>
      </c>
      <c r="BC16" s="30">
        <f t="shared" ca="1" si="14"/>
        <v>19086.315789473687</v>
      </c>
      <c r="BD16" s="30">
        <f t="shared" ca="1" si="15"/>
        <v>11133.684210526313</v>
      </c>
      <c r="BF16" s="34"/>
      <c r="BG16" s="31"/>
      <c r="BH16" s="31"/>
      <c r="BI16" s="31"/>
      <c r="BJ16" s="31"/>
    </row>
    <row r="17" spans="1:62" x14ac:dyDescent="0.3">
      <c r="C17" s="31"/>
      <c r="D17" s="31"/>
      <c r="E17" s="32"/>
      <c r="F17" s="8">
        <v>9</v>
      </c>
      <c r="G17" s="9">
        <v>1009</v>
      </c>
      <c r="H17" s="15" t="s">
        <v>11</v>
      </c>
      <c r="I17" s="17">
        <f t="shared" si="7"/>
        <v>4</v>
      </c>
      <c r="J17" s="18" t="s">
        <v>38</v>
      </c>
      <c r="K17" s="18" t="s">
        <v>38</v>
      </c>
      <c r="L17" s="18" t="s">
        <v>38</v>
      </c>
      <c r="M17" s="18" t="s">
        <v>38</v>
      </c>
      <c r="N17" s="18" t="s">
        <v>38</v>
      </c>
      <c r="O17" s="18" t="str">
        <f t="shared" si="3"/>
        <v>WO</v>
      </c>
      <c r="P17" s="18" t="s">
        <v>38</v>
      </c>
      <c r="Q17" s="18" t="s">
        <v>38</v>
      </c>
      <c r="R17" s="18" t="s">
        <v>38</v>
      </c>
      <c r="S17" s="18" t="s">
        <v>38</v>
      </c>
      <c r="T17" s="18" t="s">
        <v>38</v>
      </c>
      <c r="U17" s="18" t="s">
        <v>38</v>
      </c>
      <c r="V17" s="18" t="str">
        <f t="shared" si="3"/>
        <v>WO</v>
      </c>
      <c r="W17" s="18" t="s">
        <v>38</v>
      </c>
      <c r="X17" s="18" t="s">
        <v>38</v>
      </c>
      <c r="Y17" s="18" t="s">
        <v>38</v>
      </c>
      <c r="Z17" s="18" t="s">
        <v>38</v>
      </c>
      <c r="AA17" s="18" t="s">
        <v>38</v>
      </c>
      <c r="AB17" s="18" t="s">
        <v>38</v>
      </c>
      <c r="AC17" s="18" t="str">
        <f t="shared" ref="AC17:AJ28" si="16">IF(AC$7="Sun","WO","")</f>
        <v>WO</v>
      </c>
      <c r="AD17" s="18" t="s">
        <v>38</v>
      </c>
      <c r="AE17" s="18" t="s">
        <v>38</v>
      </c>
      <c r="AF17" s="18" t="s">
        <v>38</v>
      </c>
      <c r="AG17" s="18" t="s">
        <v>38</v>
      </c>
      <c r="AH17" s="18" t="s">
        <v>38</v>
      </c>
      <c r="AI17" s="18" t="s">
        <v>38</v>
      </c>
      <c r="AJ17" s="18" t="str">
        <f t="shared" si="16"/>
        <v>WO</v>
      </c>
      <c r="AK17" s="18" t="s">
        <v>38</v>
      </c>
      <c r="AL17" s="18" t="s">
        <v>38</v>
      </c>
      <c r="AM17" s="18" t="s">
        <v>38</v>
      </c>
      <c r="AN17" s="19" t="s">
        <v>38</v>
      </c>
      <c r="AO17" s="32"/>
      <c r="AP17" s="34"/>
      <c r="AQ17" s="9">
        <v>9</v>
      </c>
      <c r="AR17" s="9">
        <v>1009</v>
      </c>
      <c r="AS17" s="9" t="str">
        <f t="shared" si="8"/>
        <v>July</v>
      </c>
      <c r="AT17" s="15" t="s">
        <v>11</v>
      </c>
      <c r="AU17" s="28">
        <f t="shared" si="4"/>
        <v>27</v>
      </c>
      <c r="AV17">
        <f t="shared" si="5"/>
        <v>0</v>
      </c>
      <c r="AW17">
        <f t="shared" si="6"/>
        <v>0</v>
      </c>
      <c r="AX17">
        <f t="shared" si="9"/>
        <v>4</v>
      </c>
      <c r="AY17" s="29">
        <f t="shared" si="10"/>
        <v>31</v>
      </c>
      <c r="AZ17" s="29">
        <f t="shared" si="11"/>
        <v>31</v>
      </c>
      <c r="BA17" s="30">
        <f t="shared" ca="1" si="12"/>
        <v>33971</v>
      </c>
      <c r="BB17" s="30">
        <f t="shared" ca="1" si="13"/>
        <v>1095.8387096774193</v>
      </c>
      <c r="BC17" s="30">
        <f t="shared" ca="1" si="14"/>
        <v>0</v>
      </c>
      <c r="BD17" s="30">
        <f t="shared" ca="1" si="15"/>
        <v>33971</v>
      </c>
      <c r="BF17" s="34"/>
      <c r="BG17" s="31"/>
      <c r="BH17" s="31"/>
      <c r="BI17" s="31"/>
      <c r="BJ17" s="31"/>
    </row>
    <row r="18" spans="1:62" x14ac:dyDescent="0.3">
      <c r="C18" s="31"/>
      <c r="D18" s="31"/>
      <c r="E18" s="32"/>
      <c r="F18" s="8">
        <v>10</v>
      </c>
      <c r="G18" s="9">
        <v>1010</v>
      </c>
      <c r="H18" s="15" t="s">
        <v>12</v>
      </c>
      <c r="I18" s="17">
        <f t="shared" si="7"/>
        <v>4</v>
      </c>
      <c r="J18" s="18" t="s">
        <v>38</v>
      </c>
      <c r="K18" s="18" t="s">
        <v>38</v>
      </c>
      <c r="L18" s="18" t="s">
        <v>39</v>
      </c>
      <c r="M18" s="18" t="s">
        <v>38</v>
      </c>
      <c r="N18" s="18" t="s">
        <v>38</v>
      </c>
      <c r="O18" s="18" t="str">
        <f t="shared" ref="O18:V28" si="17">IF(O$7="Sun","WO","")</f>
        <v>WO</v>
      </c>
      <c r="P18" s="18" t="s">
        <v>38</v>
      </c>
      <c r="Q18" s="18" t="s">
        <v>38</v>
      </c>
      <c r="R18" s="18" t="s">
        <v>39</v>
      </c>
      <c r="S18" s="18" t="s">
        <v>38</v>
      </c>
      <c r="T18" s="18" t="s">
        <v>38</v>
      </c>
      <c r="U18" s="18" t="s">
        <v>38</v>
      </c>
      <c r="V18" s="18" t="str">
        <f t="shared" si="17"/>
        <v>WO</v>
      </c>
      <c r="W18" s="18" t="s">
        <v>38</v>
      </c>
      <c r="X18" s="18" t="s">
        <v>38</v>
      </c>
      <c r="Y18" s="18" t="s">
        <v>39</v>
      </c>
      <c r="Z18" s="18" t="s">
        <v>38</v>
      </c>
      <c r="AA18" s="18" t="s">
        <v>38</v>
      </c>
      <c r="AB18" s="18" t="s">
        <v>38</v>
      </c>
      <c r="AC18" s="18" t="str">
        <f t="shared" si="16"/>
        <v>WO</v>
      </c>
      <c r="AD18" s="18" t="s">
        <v>38</v>
      </c>
      <c r="AE18" s="18" t="s">
        <v>38</v>
      </c>
      <c r="AF18" s="18" t="s">
        <v>39</v>
      </c>
      <c r="AG18" s="18" t="s">
        <v>38</v>
      </c>
      <c r="AH18" s="18" t="s">
        <v>38</v>
      </c>
      <c r="AI18" s="18" t="s">
        <v>38</v>
      </c>
      <c r="AJ18" s="18" t="str">
        <f t="shared" si="16"/>
        <v>WO</v>
      </c>
      <c r="AK18" s="18" t="s">
        <v>38</v>
      </c>
      <c r="AL18" s="18" t="s">
        <v>38</v>
      </c>
      <c r="AM18" s="18" t="s">
        <v>39</v>
      </c>
      <c r="AN18" s="19" t="s">
        <v>38</v>
      </c>
      <c r="AO18" s="32"/>
      <c r="AP18" s="34"/>
      <c r="AQ18" s="9">
        <v>10</v>
      </c>
      <c r="AR18" s="9">
        <v>1010</v>
      </c>
      <c r="AS18" s="9" t="str">
        <f t="shared" si="8"/>
        <v>July</v>
      </c>
      <c r="AT18" s="15" t="s">
        <v>12</v>
      </c>
      <c r="AU18" s="28">
        <f t="shared" si="4"/>
        <v>22</v>
      </c>
      <c r="AV18">
        <f t="shared" si="5"/>
        <v>5</v>
      </c>
      <c r="AW18">
        <f t="shared" si="6"/>
        <v>0</v>
      </c>
      <c r="AX18">
        <f t="shared" si="9"/>
        <v>4</v>
      </c>
      <c r="AY18" s="29">
        <f t="shared" si="10"/>
        <v>31</v>
      </c>
      <c r="AZ18" s="29">
        <f t="shared" si="11"/>
        <v>26</v>
      </c>
      <c r="BA18" s="30">
        <f t="shared" ca="1" si="12"/>
        <v>16290</v>
      </c>
      <c r="BB18" s="30">
        <f t="shared" ca="1" si="13"/>
        <v>626.53846153846155</v>
      </c>
      <c r="BC18" s="30">
        <f t="shared" ca="1" si="14"/>
        <v>3132.6923076923076</v>
      </c>
      <c r="BD18" s="30">
        <f t="shared" ca="1" si="15"/>
        <v>13157.307692307691</v>
      </c>
      <c r="BF18" s="34"/>
      <c r="BG18" s="31"/>
      <c r="BH18" s="31"/>
      <c r="BI18" s="31"/>
      <c r="BJ18" s="31"/>
    </row>
    <row r="19" spans="1:62" x14ac:dyDescent="0.3">
      <c r="C19" s="31"/>
      <c r="D19" s="31"/>
      <c r="E19" s="32"/>
      <c r="F19" s="8">
        <v>11</v>
      </c>
      <c r="G19" s="9">
        <v>1011</v>
      </c>
      <c r="H19" s="15" t="s">
        <v>13</v>
      </c>
      <c r="I19" s="17">
        <f t="shared" si="7"/>
        <v>4</v>
      </c>
      <c r="J19" s="18" t="s">
        <v>38</v>
      </c>
      <c r="K19" s="18" t="s">
        <v>38</v>
      </c>
      <c r="L19" s="18" t="s">
        <v>38</v>
      </c>
      <c r="M19" s="18" t="s">
        <v>38</v>
      </c>
      <c r="N19" s="18" t="s">
        <v>38</v>
      </c>
      <c r="O19" s="18" t="str">
        <f t="shared" si="17"/>
        <v>WO</v>
      </c>
      <c r="P19" s="18" t="s">
        <v>38</v>
      </c>
      <c r="Q19" s="18" t="s">
        <v>38</v>
      </c>
      <c r="R19" s="18" t="s">
        <v>38</v>
      </c>
      <c r="S19" s="18" t="s">
        <v>38</v>
      </c>
      <c r="T19" s="18" t="s">
        <v>38</v>
      </c>
      <c r="U19" s="18" t="s">
        <v>38</v>
      </c>
      <c r="V19" s="18" t="str">
        <f t="shared" si="17"/>
        <v>WO</v>
      </c>
      <c r="W19" s="18" t="s">
        <v>38</v>
      </c>
      <c r="X19" s="18" t="s">
        <v>38</v>
      </c>
      <c r="Y19" s="18" t="s">
        <v>38</v>
      </c>
      <c r="Z19" s="18" t="s">
        <v>38</v>
      </c>
      <c r="AA19" s="18" t="s">
        <v>38</v>
      </c>
      <c r="AB19" s="18" t="s">
        <v>38</v>
      </c>
      <c r="AC19" s="18" t="str">
        <f t="shared" si="16"/>
        <v>WO</v>
      </c>
      <c r="AD19" s="18" t="s">
        <v>38</v>
      </c>
      <c r="AE19" s="18" t="s">
        <v>38</v>
      </c>
      <c r="AF19" s="18" t="s">
        <v>38</v>
      </c>
      <c r="AG19" s="18" t="s">
        <v>38</v>
      </c>
      <c r="AH19" s="18" t="s">
        <v>38</v>
      </c>
      <c r="AI19" s="18" t="s">
        <v>38</v>
      </c>
      <c r="AJ19" s="18" t="str">
        <f t="shared" si="16"/>
        <v>WO</v>
      </c>
      <c r="AK19" s="18" t="s">
        <v>38</v>
      </c>
      <c r="AL19" s="18" t="s">
        <v>38</v>
      </c>
      <c r="AM19" s="18" t="s">
        <v>38</v>
      </c>
      <c r="AN19" s="19" t="s">
        <v>38</v>
      </c>
      <c r="AO19" s="32"/>
      <c r="AP19" s="34"/>
      <c r="AQ19" s="9">
        <v>11</v>
      </c>
      <c r="AR19" s="9">
        <v>1011</v>
      </c>
      <c r="AS19" s="9" t="str">
        <f t="shared" si="8"/>
        <v>July</v>
      </c>
      <c r="AT19" s="15" t="s">
        <v>13</v>
      </c>
      <c r="AU19" s="28">
        <f t="shared" si="4"/>
        <v>27</v>
      </c>
      <c r="AV19">
        <f t="shared" si="5"/>
        <v>0</v>
      </c>
      <c r="AW19">
        <f t="shared" si="6"/>
        <v>0</v>
      </c>
      <c r="AX19">
        <f t="shared" si="9"/>
        <v>4</v>
      </c>
      <c r="AY19" s="29">
        <f t="shared" si="10"/>
        <v>31</v>
      </c>
      <c r="AZ19" s="29">
        <f t="shared" si="11"/>
        <v>31</v>
      </c>
      <c r="BA19" s="30">
        <f t="shared" ca="1" si="12"/>
        <v>25528</v>
      </c>
      <c r="BB19" s="30">
        <f t="shared" ca="1" si="13"/>
        <v>823.48387096774195</v>
      </c>
      <c r="BC19" s="30">
        <f t="shared" ca="1" si="14"/>
        <v>0</v>
      </c>
      <c r="BD19" s="30">
        <f t="shared" ca="1" si="15"/>
        <v>25528</v>
      </c>
      <c r="BF19" s="34"/>
      <c r="BG19" s="31"/>
      <c r="BH19" s="31"/>
      <c r="BI19" s="31"/>
      <c r="BJ19" s="31"/>
    </row>
    <row r="20" spans="1:62" x14ac:dyDescent="0.3">
      <c r="C20" s="31"/>
      <c r="D20" s="31"/>
      <c r="E20" s="32"/>
      <c r="F20" s="8">
        <v>12</v>
      </c>
      <c r="G20" s="9">
        <v>1012</v>
      </c>
      <c r="H20" s="15" t="s">
        <v>14</v>
      </c>
      <c r="I20" s="17">
        <f t="shared" si="7"/>
        <v>4</v>
      </c>
      <c r="J20" s="18" t="s">
        <v>38</v>
      </c>
      <c r="K20" s="18" t="s">
        <v>38</v>
      </c>
      <c r="L20" s="18" t="s">
        <v>38</v>
      </c>
      <c r="M20" s="18" t="s">
        <v>38</v>
      </c>
      <c r="N20" s="18" t="s">
        <v>38</v>
      </c>
      <c r="O20" s="18" t="str">
        <f t="shared" si="17"/>
        <v>WO</v>
      </c>
      <c r="P20" s="18" t="s">
        <v>38</v>
      </c>
      <c r="Q20" s="18" t="s">
        <v>38</v>
      </c>
      <c r="R20" s="18" t="s">
        <v>38</v>
      </c>
      <c r="S20" s="18" t="s">
        <v>38</v>
      </c>
      <c r="T20" s="18" t="s">
        <v>38</v>
      </c>
      <c r="U20" s="18" t="s">
        <v>38</v>
      </c>
      <c r="V20" s="18" t="str">
        <f t="shared" si="17"/>
        <v>WO</v>
      </c>
      <c r="W20" s="18" t="s">
        <v>38</v>
      </c>
      <c r="X20" s="18" t="s">
        <v>38</v>
      </c>
      <c r="Y20" s="18" t="s">
        <v>38</v>
      </c>
      <c r="Z20" s="18" t="s">
        <v>38</v>
      </c>
      <c r="AA20" s="18" t="s">
        <v>38</v>
      </c>
      <c r="AB20" s="18" t="s">
        <v>38</v>
      </c>
      <c r="AC20" s="18" t="str">
        <f t="shared" si="16"/>
        <v>WO</v>
      </c>
      <c r="AD20" s="18" t="s">
        <v>38</v>
      </c>
      <c r="AE20" s="18" t="s">
        <v>38</v>
      </c>
      <c r="AF20" s="18" t="s">
        <v>38</v>
      </c>
      <c r="AG20" s="18" t="s">
        <v>38</v>
      </c>
      <c r="AH20" s="18" t="s">
        <v>38</v>
      </c>
      <c r="AI20" s="18" t="s">
        <v>38</v>
      </c>
      <c r="AJ20" s="18" t="str">
        <f t="shared" si="16"/>
        <v>WO</v>
      </c>
      <c r="AK20" s="18" t="s">
        <v>38</v>
      </c>
      <c r="AL20" s="18" t="s">
        <v>38</v>
      </c>
      <c r="AM20" s="18" t="s">
        <v>38</v>
      </c>
      <c r="AN20" s="19" t="s">
        <v>38</v>
      </c>
      <c r="AO20" s="32"/>
      <c r="AP20" s="34"/>
      <c r="AQ20" s="9">
        <v>12</v>
      </c>
      <c r="AR20" s="9">
        <v>1012</v>
      </c>
      <c r="AS20" s="9" t="str">
        <f t="shared" si="8"/>
        <v>July</v>
      </c>
      <c r="AT20" s="15" t="s">
        <v>14</v>
      </c>
      <c r="AU20" s="28">
        <f t="shared" si="4"/>
        <v>27</v>
      </c>
      <c r="AV20">
        <f t="shared" si="5"/>
        <v>0</v>
      </c>
      <c r="AW20">
        <f t="shared" si="6"/>
        <v>0</v>
      </c>
      <c r="AX20">
        <f t="shared" si="9"/>
        <v>4</v>
      </c>
      <c r="AY20" s="29">
        <f t="shared" si="10"/>
        <v>31</v>
      </c>
      <c r="AZ20" s="29">
        <f t="shared" si="11"/>
        <v>31</v>
      </c>
      <c r="BA20" s="30">
        <f t="shared" ca="1" si="12"/>
        <v>21646</v>
      </c>
      <c r="BB20" s="30">
        <f t="shared" ca="1" si="13"/>
        <v>698.25806451612902</v>
      </c>
      <c r="BC20" s="30">
        <f t="shared" ca="1" si="14"/>
        <v>0</v>
      </c>
      <c r="BD20" s="30">
        <f t="shared" ca="1" si="15"/>
        <v>21646</v>
      </c>
      <c r="BF20" s="34"/>
      <c r="BG20" s="31"/>
      <c r="BH20" s="31"/>
      <c r="BI20" s="31"/>
      <c r="BJ20" s="31"/>
    </row>
    <row r="21" spans="1:62" x14ac:dyDescent="0.3">
      <c r="C21" s="31"/>
      <c r="D21" s="31"/>
      <c r="E21" s="32"/>
      <c r="F21" s="8">
        <v>13</v>
      </c>
      <c r="G21" s="9">
        <v>1013</v>
      </c>
      <c r="H21" s="15" t="s">
        <v>15</v>
      </c>
      <c r="I21" s="17">
        <f t="shared" si="7"/>
        <v>4</v>
      </c>
      <c r="J21" s="18" t="s">
        <v>38</v>
      </c>
      <c r="K21" s="18" t="s">
        <v>39</v>
      </c>
      <c r="L21" s="18" t="s">
        <v>38</v>
      </c>
      <c r="M21" s="18" t="s">
        <v>38</v>
      </c>
      <c r="N21" s="18" t="s">
        <v>38</v>
      </c>
      <c r="O21" s="18" t="str">
        <f t="shared" si="17"/>
        <v>WO</v>
      </c>
      <c r="P21" s="18" t="s">
        <v>38</v>
      </c>
      <c r="Q21" s="18" t="s">
        <v>39</v>
      </c>
      <c r="R21" s="18" t="s">
        <v>38</v>
      </c>
      <c r="S21" s="18" t="s">
        <v>38</v>
      </c>
      <c r="T21" s="18" t="s">
        <v>38</v>
      </c>
      <c r="U21" s="18" t="s">
        <v>38</v>
      </c>
      <c r="V21" s="18" t="str">
        <f t="shared" si="17"/>
        <v>WO</v>
      </c>
      <c r="W21" s="18" t="s">
        <v>38</v>
      </c>
      <c r="X21" s="18" t="s">
        <v>39</v>
      </c>
      <c r="Y21" s="18" t="s">
        <v>38</v>
      </c>
      <c r="Z21" s="18" t="s">
        <v>38</v>
      </c>
      <c r="AA21" s="18" t="s">
        <v>38</v>
      </c>
      <c r="AB21" s="18" t="s">
        <v>38</v>
      </c>
      <c r="AC21" s="18" t="str">
        <f t="shared" si="16"/>
        <v>WO</v>
      </c>
      <c r="AD21" s="18" t="s">
        <v>38</v>
      </c>
      <c r="AE21" s="18" t="s">
        <v>39</v>
      </c>
      <c r="AF21" s="18" t="s">
        <v>38</v>
      </c>
      <c r="AG21" s="18" t="s">
        <v>38</v>
      </c>
      <c r="AH21" s="18" t="s">
        <v>38</v>
      </c>
      <c r="AI21" s="18" t="s">
        <v>38</v>
      </c>
      <c r="AJ21" s="18" t="str">
        <f t="shared" si="16"/>
        <v>WO</v>
      </c>
      <c r="AK21" s="18" t="s">
        <v>38</v>
      </c>
      <c r="AL21" s="18" t="s">
        <v>39</v>
      </c>
      <c r="AM21" s="18" t="s">
        <v>38</v>
      </c>
      <c r="AN21" s="19" t="s">
        <v>38</v>
      </c>
      <c r="AO21" s="32"/>
      <c r="AP21" s="34"/>
      <c r="AQ21" s="9">
        <v>13</v>
      </c>
      <c r="AR21" s="9">
        <v>1013</v>
      </c>
      <c r="AS21" s="9" t="str">
        <f t="shared" si="8"/>
        <v>July</v>
      </c>
      <c r="AT21" s="15" t="s">
        <v>15</v>
      </c>
      <c r="AU21" s="28">
        <f t="shared" si="4"/>
        <v>22</v>
      </c>
      <c r="AV21">
        <f t="shared" si="5"/>
        <v>5</v>
      </c>
      <c r="AW21">
        <f t="shared" si="6"/>
        <v>0</v>
      </c>
      <c r="AX21">
        <f t="shared" si="9"/>
        <v>4</v>
      </c>
      <c r="AY21" s="29">
        <f t="shared" si="10"/>
        <v>31</v>
      </c>
      <c r="AZ21" s="29">
        <f t="shared" si="11"/>
        <v>26</v>
      </c>
      <c r="BA21" s="30">
        <f t="shared" ca="1" si="12"/>
        <v>48242</v>
      </c>
      <c r="BB21" s="30">
        <f t="shared" ca="1" si="13"/>
        <v>1855.4615384615386</v>
      </c>
      <c r="BC21" s="30">
        <f t="shared" ca="1" si="14"/>
        <v>9277.3076923076933</v>
      </c>
      <c r="BD21" s="30">
        <f t="shared" ca="1" si="15"/>
        <v>38964.692307692305</v>
      </c>
      <c r="BF21" s="34"/>
      <c r="BG21" s="31"/>
      <c r="BH21" s="31"/>
      <c r="BI21" s="31"/>
      <c r="BJ21" s="31"/>
    </row>
    <row r="22" spans="1:62" x14ac:dyDescent="0.3">
      <c r="C22" s="31"/>
      <c r="D22" s="31"/>
      <c r="E22" s="32"/>
      <c r="F22" s="8">
        <v>14</v>
      </c>
      <c r="G22" s="9">
        <v>1014</v>
      </c>
      <c r="H22" s="15" t="s">
        <v>16</v>
      </c>
      <c r="I22" s="17">
        <f t="shared" si="7"/>
        <v>4</v>
      </c>
      <c r="J22" s="18" t="s">
        <v>38</v>
      </c>
      <c r="K22" s="18" t="s">
        <v>38</v>
      </c>
      <c r="L22" s="18" t="s">
        <v>38</v>
      </c>
      <c r="M22" s="18" t="s">
        <v>38</v>
      </c>
      <c r="N22" s="18" t="s">
        <v>38</v>
      </c>
      <c r="O22" s="18" t="str">
        <f t="shared" si="17"/>
        <v>WO</v>
      </c>
      <c r="P22" s="18" t="s">
        <v>38</v>
      </c>
      <c r="Q22" s="18" t="s">
        <v>38</v>
      </c>
      <c r="R22" s="18" t="s">
        <v>38</v>
      </c>
      <c r="S22" s="18" t="s">
        <v>38</v>
      </c>
      <c r="T22" s="18" t="s">
        <v>38</v>
      </c>
      <c r="U22" s="18" t="s">
        <v>38</v>
      </c>
      <c r="V22" s="18" t="str">
        <f t="shared" si="17"/>
        <v>WO</v>
      </c>
      <c r="W22" s="18" t="s">
        <v>38</v>
      </c>
      <c r="X22" s="18" t="s">
        <v>38</v>
      </c>
      <c r="Y22" s="18" t="s">
        <v>38</v>
      </c>
      <c r="Z22" s="18" t="s">
        <v>38</v>
      </c>
      <c r="AA22" s="18" t="s">
        <v>38</v>
      </c>
      <c r="AB22" s="18" t="s">
        <v>38</v>
      </c>
      <c r="AC22" s="18" t="str">
        <f t="shared" si="16"/>
        <v>WO</v>
      </c>
      <c r="AD22" s="18" t="s">
        <v>38</v>
      </c>
      <c r="AE22" s="18" t="s">
        <v>38</v>
      </c>
      <c r="AF22" s="18" t="s">
        <v>38</v>
      </c>
      <c r="AG22" s="18" t="s">
        <v>38</v>
      </c>
      <c r="AH22" s="18" t="s">
        <v>38</v>
      </c>
      <c r="AI22" s="18" t="s">
        <v>38</v>
      </c>
      <c r="AJ22" s="18" t="str">
        <f t="shared" si="16"/>
        <v>WO</v>
      </c>
      <c r="AK22" s="18" t="s">
        <v>38</v>
      </c>
      <c r="AL22" s="18" t="s">
        <v>38</v>
      </c>
      <c r="AM22" s="18" t="s">
        <v>38</v>
      </c>
      <c r="AN22" s="19" t="s">
        <v>38</v>
      </c>
      <c r="AO22" s="32"/>
      <c r="AP22" s="34"/>
      <c r="AQ22" s="9">
        <v>14</v>
      </c>
      <c r="AR22" s="9">
        <v>1014</v>
      </c>
      <c r="AS22" s="9" t="str">
        <f t="shared" si="8"/>
        <v>July</v>
      </c>
      <c r="AT22" s="15" t="s">
        <v>16</v>
      </c>
      <c r="AU22" s="28">
        <f t="shared" si="4"/>
        <v>27</v>
      </c>
      <c r="AV22">
        <f t="shared" si="5"/>
        <v>0</v>
      </c>
      <c r="AW22">
        <f t="shared" si="6"/>
        <v>0</v>
      </c>
      <c r="AX22">
        <f t="shared" si="9"/>
        <v>4</v>
      </c>
      <c r="AY22" s="29">
        <f t="shared" si="10"/>
        <v>31</v>
      </c>
      <c r="AZ22" s="29">
        <f t="shared" si="11"/>
        <v>31</v>
      </c>
      <c r="BA22" s="30">
        <f t="shared" ca="1" si="12"/>
        <v>25980</v>
      </c>
      <c r="BB22" s="30">
        <f t="shared" ca="1" si="13"/>
        <v>838.06451612903231</v>
      </c>
      <c r="BC22" s="30">
        <f t="shared" ca="1" si="14"/>
        <v>0</v>
      </c>
      <c r="BD22" s="30">
        <f t="shared" ca="1" si="15"/>
        <v>25980</v>
      </c>
      <c r="BF22" s="34"/>
      <c r="BG22" s="31"/>
      <c r="BH22" s="31"/>
      <c r="BI22" s="31"/>
      <c r="BJ22" s="31"/>
    </row>
    <row r="23" spans="1:62" x14ac:dyDescent="0.3">
      <c r="C23" s="31"/>
      <c r="D23" s="31"/>
      <c r="E23" s="32"/>
      <c r="F23" s="8">
        <v>15</v>
      </c>
      <c r="G23" s="9">
        <v>1015</v>
      </c>
      <c r="H23" s="15" t="s">
        <v>17</v>
      </c>
      <c r="I23" s="17">
        <f t="shared" si="7"/>
        <v>4</v>
      </c>
      <c r="J23" s="18" t="s">
        <v>38</v>
      </c>
      <c r="K23" s="18" t="s">
        <v>38</v>
      </c>
      <c r="L23" s="18" t="s">
        <v>38</v>
      </c>
      <c r="M23" s="18" t="s">
        <v>38</v>
      </c>
      <c r="N23" s="18" t="s">
        <v>38</v>
      </c>
      <c r="O23" s="18" t="str">
        <f t="shared" si="17"/>
        <v>WO</v>
      </c>
      <c r="P23" s="18" t="s">
        <v>38</v>
      </c>
      <c r="Q23" s="18" t="s">
        <v>38</v>
      </c>
      <c r="R23" s="18" t="s">
        <v>38</v>
      </c>
      <c r="S23" s="18" t="s">
        <v>38</v>
      </c>
      <c r="T23" s="18" t="s">
        <v>38</v>
      </c>
      <c r="U23" s="18" t="s">
        <v>38</v>
      </c>
      <c r="V23" s="18" t="str">
        <f t="shared" si="17"/>
        <v>WO</v>
      </c>
      <c r="W23" s="18" t="s">
        <v>38</v>
      </c>
      <c r="X23" s="18" t="s">
        <v>38</v>
      </c>
      <c r="Y23" s="18" t="s">
        <v>38</v>
      </c>
      <c r="Z23" s="18" t="s">
        <v>38</v>
      </c>
      <c r="AA23" s="18" t="s">
        <v>38</v>
      </c>
      <c r="AB23" s="18" t="s">
        <v>38</v>
      </c>
      <c r="AC23" s="18" t="str">
        <f t="shared" si="16"/>
        <v>WO</v>
      </c>
      <c r="AD23" s="18" t="s">
        <v>38</v>
      </c>
      <c r="AE23" s="18" t="s">
        <v>38</v>
      </c>
      <c r="AF23" s="18" t="s">
        <v>38</v>
      </c>
      <c r="AG23" s="18" t="s">
        <v>38</v>
      </c>
      <c r="AH23" s="18" t="s">
        <v>38</v>
      </c>
      <c r="AI23" s="18" t="s">
        <v>38</v>
      </c>
      <c r="AJ23" s="18" t="str">
        <f t="shared" si="16"/>
        <v>WO</v>
      </c>
      <c r="AK23" s="18" t="s">
        <v>38</v>
      </c>
      <c r="AL23" s="18" t="s">
        <v>38</v>
      </c>
      <c r="AM23" s="18" t="s">
        <v>38</v>
      </c>
      <c r="AN23" s="19" t="s">
        <v>38</v>
      </c>
      <c r="AO23" s="32"/>
      <c r="AP23" s="34"/>
      <c r="AQ23" s="9">
        <v>15</v>
      </c>
      <c r="AR23" s="9">
        <v>1015</v>
      </c>
      <c r="AS23" s="9" t="str">
        <f t="shared" si="8"/>
        <v>July</v>
      </c>
      <c r="AT23" s="15" t="s">
        <v>17</v>
      </c>
      <c r="AU23" s="28">
        <f t="shared" si="4"/>
        <v>27</v>
      </c>
      <c r="AV23">
        <f t="shared" si="5"/>
        <v>0</v>
      </c>
      <c r="AW23">
        <f t="shared" si="6"/>
        <v>0</v>
      </c>
      <c r="AX23">
        <f t="shared" si="9"/>
        <v>4</v>
      </c>
      <c r="AY23" s="29">
        <f t="shared" si="10"/>
        <v>31</v>
      </c>
      <c r="AZ23" s="29">
        <f t="shared" si="11"/>
        <v>31</v>
      </c>
      <c r="BA23" s="30">
        <f t="shared" ca="1" si="12"/>
        <v>15932</v>
      </c>
      <c r="BB23" s="30">
        <f t="shared" ca="1" si="13"/>
        <v>513.93548387096769</v>
      </c>
      <c r="BC23" s="30">
        <f t="shared" ca="1" si="14"/>
        <v>0</v>
      </c>
      <c r="BD23" s="30">
        <f t="shared" ca="1" si="15"/>
        <v>15932</v>
      </c>
      <c r="BF23" s="34"/>
      <c r="BG23" s="31"/>
      <c r="BH23" s="31"/>
      <c r="BI23" s="31"/>
      <c r="BJ23" s="31"/>
    </row>
    <row r="24" spans="1:62" x14ac:dyDescent="0.3">
      <c r="C24" s="31"/>
      <c r="D24" s="31"/>
      <c r="E24" s="32"/>
      <c r="F24" s="8">
        <v>16</v>
      </c>
      <c r="G24" s="9">
        <v>1016</v>
      </c>
      <c r="H24" s="15" t="s">
        <v>18</v>
      </c>
      <c r="I24" s="17">
        <f t="shared" si="7"/>
        <v>4</v>
      </c>
      <c r="J24" s="18" t="s">
        <v>38</v>
      </c>
      <c r="K24" s="18" t="s">
        <v>38</v>
      </c>
      <c r="L24" s="18" t="s">
        <v>39</v>
      </c>
      <c r="M24" s="18" t="s">
        <v>38</v>
      </c>
      <c r="N24" s="18" t="s">
        <v>38</v>
      </c>
      <c r="O24" s="18" t="str">
        <f t="shared" si="17"/>
        <v>WO</v>
      </c>
      <c r="P24" s="18" t="s">
        <v>38</v>
      </c>
      <c r="Q24" s="18" t="s">
        <v>38</v>
      </c>
      <c r="R24" s="18" t="s">
        <v>39</v>
      </c>
      <c r="S24" s="18" t="s">
        <v>38</v>
      </c>
      <c r="T24" s="18" t="s">
        <v>38</v>
      </c>
      <c r="U24" s="18" t="s">
        <v>38</v>
      </c>
      <c r="V24" s="18" t="str">
        <f t="shared" si="17"/>
        <v>WO</v>
      </c>
      <c r="W24" s="18" t="s">
        <v>38</v>
      </c>
      <c r="X24" s="18" t="s">
        <v>38</v>
      </c>
      <c r="Y24" s="18" t="s">
        <v>39</v>
      </c>
      <c r="Z24" s="18" t="s">
        <v>38</v>
      </c>
      <c r="AA24" s="18" t="s">
        <v>38</v>
      </c>
      <c r="AB24" s="18" t="s">
        <v>38</v>
      </c>
      <c r="AC24" s="18" t="str">
        <f t="shared" si="16"/>
        <v>WO</v>
      </c>
      <c r="AD24" s="18" t="s">
        <v>38</v>
      </c>
      <c r="AE24" s="18" t="s">
        <v>38</v>
      </c>
      <c r="AF24" s="18" t="s">
        <v>39</v>
      </c>
      <c r="AG24" s="18" t="s">
        <v>38</v>
      </c>
      <c r="AH24" s="18" t="s">
        <v>38</v>
      </c>
      <c r="AI24" s="18" t="s">
        <v>38</v>
      </c>
      <c r="AJ24" s="18" t="str">
        <f t="shared" si="16"/>
        <v>WO</v>
      </c>
      <c r="AK24" s="18" t="s">
        <v>38</v>
      </c>
      <c r="AL24" s="18" t="s">
        <v>38</v>
      </c>
      <c r="AM24" s="18" t="s">
        <v>39</v>
      </c>
      <c r="AN24" s="19" t="s">
        <v>38</v>
      </c>
      <c r="AO24" s="32"/>
      <c r="AP24" s="34"/>
      <c r="AQ24" s="9">
        <v>16</v>
      </c>
      <c r="AR24" s="9">
        <v>1016</v>
      </c>
      <c r="AS24" s="9" t="str">
        <f t="shared" si="8"/>
        <v>July</v>
      </c>
      <c r="AT24" s="15" t="s">
        <v>18</v>
      </c>
      <c r="AU24" s="28">
        <f t="shared" si="4"/>
        <v>22</v>
      </c>
      <c r="AV24">
        <f t="shared" si="5"/>
        <v>5</v>
      </c>
      <c r="AW24">
        <f t="shared" si="6"/>
        <v>0</v>
      </c>
      <c r="AX24">
        <f t="shared" si="9"/>
        <v>4</v>
      </c>
      <c r="AY24" s="29">
        <f t="shared" si="10"/>
        <v>31</v>
      </c>
      <c r="AZ24" s="29">
        <f t="shared" si="11"/>
        <v>26</v>
      </c>
      <c r="BA24" s="30">
        <f t="shared" ca="1" si="12"/>
        <v>25697</v>
      </c>
      <c r="BB24" s="30">
        <f t="shared" ca="1" si="13"/>
        <v>988.34615384615381</v>
      </c>
      <c r="BC24" s="30">
        <f t="shared" ca="1" si="14"/>
        <v>4941.7307692307695</v>
      </c>
      <c r="BD24" s="30">
        <f t="shared" ca="1" si="15"/>
        <v>20755.26923076923</v>
      </c>
      <c r="BF24" s="34"/>
      <c r="BG24" s="31"/>
      <c r="BH24" s="31"/>
      <c r="BI24" s="31"/>
      <c r="BJ24" s="31"/>
    </row>
    <row r="25" spans="1:62" x14ac:dyDescent="0.3">
      <c r="C25" s="31"/>
      <c r="D25" s="31"/>
      <c r="E25" s="32"/>
      <c r="F25" s="8">
        <v>17</v>
      </c>
      <c r="G25" s="9">
        <v>1017</v>
      </c>
      <c r="H25" s="15" t="s">
        <v>19</v>
      </c>
      <c r="I25" s="17">
        <f t="shared" si="7"/>
        <v>4</v>
      </c>
      <c r="J25" s="18" t="s">
        <v>39</v>
      </c>
      <c r="K25" s="18" t="s">
        <v>38</v>
      </c>
      <c r="L25" s="18" t="s">
        <v>38</v>
      </c>
      <c r="M25" s="18" t="s">
        <v>38</v>
      </c>
      <c r="N25" s="18" t="s">
        <v>38</v>
      </c>
      <c r="O25" s="18" t="str">
        <f t="shared" si="17"/>
        <v>WO</v>
      </c>
      <c r="P25" s="18" t="s">
        <v>39</v>
      </c>
      <c r="Q25" s="18" t="s">
        <v>38</v>
      </c>
      <c r="R25" s="18" t="s">
        <v>38</v>
      </c>
      <c r="S25" s="18" t="s">
        <v>38</v>
      </c>
      <c r="T25" s="18" t="s">
        <v>38</v>
      </c>
      <c r="U25" s="18" t="s">
        <v>38</v>
      </c>
      <c r="V25" s="18" t="str">
        <f t="shared" si="17"/>
        <v>WO</v>
      </c>
      <c r="W25" s="18" t="s">
        <v>39</v>
      </c>
      <c r="X25" s="18" t="s">
        <v>38</v>
      </c>
      <c r="Y25" s="18" t="s">
        <v>38</v>
      </c>
      <c r="Z25" s="18" t="s">
        <v>38</v>
      </c>
      <c r="AA25" s="18" t="s">
        <v>38</v>
      </c>
      <c r="AB25" s="18" t="s">
        <v>38</v>
      </c>
      <c r="AC25" s="18" t="str">
        <f t="shared" si="16"/>
        <v>WO</v>
      </c>
      <c r="AD25" s="18" t="s">
        <v>39</v>
      </c>
      <c r="AE25" s="18" t="s">
        <v>38</v>
      </c>
      <c r="AF25" s="18" t="s">
        <v>38</v>
      </c>
      <c r="AG25" s="18" t="s">
        <v>38</v>
      </c>
      <c r="AH25" s="18" t="s">
        <v>38</v>
      </c>
      <c r="AI25" s="18" t="s">
        <v>38</v>
      </c>
      <c r="AJ25" s="18" t="str">
        <f t="shared" si="16"/>
        <v>WO</v>
      </c>
      <c r="AK25" s="18" t="s">
        <v>39</v>
      </c>
      <c r="AL25" s="18" t="s">
        <v>38</v>
      </c>
      <c r="AM25" s="18" t="s">
        <v>38</v>
      </c>
      <c r="AN25" s="19" t="s">
        <v>38</v>
      </c>
      <c r="AO25" s="32"/>
      <c r="AP25" s="34"/>
      <c r="AQ25" s="9">
        <v>17</v>
      </c>
      <c r="AR25" s="9">
        <v>1017</v>
      </c>
      <c r="AS25" s="9" t="str">
        <f t="shared" si="8"/>
        <v>July</v>
      </c>
      <c r="AT25" s="15" t="s">
        <v>19</v>
      </c>
      <c r="AU25" s="28">
        <f t="shared" si="4"/>
        <v>22</v>
      </c>
      <c r="AV25">
        <f t="shared" si="5"/>
        <v>5</v>
      </c>
      <c r="AW25">
        <f t="shared" si="6"/>
        <v>0</v>
      </c>
      <c r="AX25">
        <f t="shared" si="9"/>
        <v>4</v>
      </c>
      <c r="AY25" s="29">
        <f t="shared" si="10"/>
        <v>31</v>
      </c>
      <c r="AZ25" s="29">
        <f t="shared" si="11"/>
        <v>26</v>
      </c>
      <c r="BA25" s="30">
        <f t="shared" ca="1" si="12"/>
        <v>18960</v>
      </c>
      <c r="BB25" s="30">
        <f t="shared" ca="1" si="13"/>
        <v>729.23076923076928</v>
      </c>
      <c r="BC25" s="30">
        <f t="shared" ca="1" si="14"/>
        <v>3646.1538461538466</v>
      </c>
      <c r="BD25" s="30">
        <f t="shared" ca="1" si="15"/>
        <v>15313.846153846152</v>
      </c>
      <c r="BF25" s="34"/>
      <c r="BG25" s="31"/>
      <c r="BH25" s="31"/>
      <c r="BI25" s="31"/>
      <c r="BJ25" s="31"/>
    </row>
    <row r="26" spans="1:62" x14ac:dyDescent="0.3">
      <c r="C26" s="31"/>
      <c r="D26" s="31"/>
      <c r="E26" s="32"/>
      <c r="F26" s="8">
        <v>18</v>
      </c>
      <c r="G26" s="9">
        <v>1018</v>
      </c>
      <c r="H26" s="15" t="s">
        <v>22</v>
      </c>
      <c r="I26" s="17">
        <f t="shared" si="7"/>
        <v>4</v>
      </c>
      <c r="J26" s="18" t="s">
        <v>38</v>
      </c>
      <c r="K26" s="18" t="s">
        <v>38</v>
      </c>
      <c r="L26" s="18" t="s">
        <v>38</v>
      </c>
      <c r="M26" s="18" t="s">
        <v>38</v>
      </c>
      <c r="N26" s="18" t="s">
        <v>38</v>
      </c>
      <c r="O26" s="18" t="str">
        <f t="shared" si="17"/>
        <v>WO</v>
      </c>
      <c r="P26" s="18" t="s">
        <v>38</v>
      </c>
      <c r="Q26" s="18" t="s">
        <v>38</v>
      </c>
      <c r="R26" s="18" t="s">
        <v>38</v>
      </c>
      <c r="S26" s="18" t="s">
        <v>38</v>
      </c>
      <c r="T26" s="18" t="s">
        <v>38</v>
      </c>
      <c r="U26" s="18" t="s">
        <v>38</v>
      </c>
      <c r="V26" s="18" t="str">
        <f t="shared" si="17"/>
        <v>WO</v>
      </c>
      <c r="W26" s="18" t="s">
        <v>38</v>
      </c>
      <c r="X26" s="18" t="s">
        <v>38</v>
      </c>
      <c r="Y26" s="18" t="s">
        <v>38</v>
      </c>
      <c r="Z26" s="18" t="s">
        <v>38</v>
      </c>
      <c r="AA26" s="18" t="s">
        <v>38</v>
      </c>
      <c r="AB26" s="18" t="s">
        <v>38</v>
      </c>
      <c r="AC26" s="18" t="str">
        <f t="shared" si="16"/>
        <v>WO</v>
      </c>
      <c r="AD26" s="18" t="s">
        <v>38</v>
      </c>
      <c r="AE26" s="18" t="s">
        <v>38</v>
      </c>
      <c r="AF26" s="18" t="s">
        <v>38</v>
      </c>
      <c r="AG26" s="18" t="s">
        <v>38</v>
      </c>
      <c r="AH26" s="18" t="s">
        <v>38</v>
      </c>
      <c r="AI26" s="18" t="s">
        <v>38</v>
      </c>
      <c r="AJ26" s="18" t="str">
        <f t="shared" si="16"/>
        <v>WO</v>
      </c>
      <c r="AK26" s="18" t="s">
        <v>38</v>
      </c>
      <c r="AL26" s="18" t="s">
        <v>38</v>
      </c>
      <c r="AM26" s="18" t="s">
        <v>38</v>
      </c>
      <c r="AN26" s="19" t="s">
        <v>38</v>
      </c>
      <c r="AO26" s="32"/>
      <c r="AP26" s="34"/>
      <c r="AQ26" s="9">
        <v>18</v>
      </c>
      <c r="AR26" s="9">
        <v>1018</v>
      </c>
      <c r="AS26" s="9" t="str">
        <f t="shared" si="8"/>
        <v>July</v>
      </c>
      <c r="AT26" s="15" t="s">
        <v>22</v>
      </c>
      <c r="AU26" s="28">
        <f t="shared" si="4"/>
        <v>27</v>
      </c>
      <c r="AV26">
        <f t="shared" si="5"/>
        <v>0</v>
      </c>
      <c r="AW26">
        <f t="shared" si="6"/>
        <v>0</v>
      </c>
      <c r="AX26">
        <f t="shared" si="9"/>
        <v>4</v>
      </c>
      <c r="AY26" s="29">
        <f t="shared" si="10"/>
        <v>31</v>
      </c>
      <c r="AZ26" s="29">
        <f t="shared" si="11"/>
        <v>31</v>
      </c>
      <c r="BA26" s="30">
        <f t="shared" ca="1" si="12"/>
        <v>10255</v>
      </c>
      <c r="BB26" s="30">
        <f t="shared" ca="1" si="13"/>
        <v>330.80645161290323</v>
      </c>
      <c r="BC26" s="30">
        <f t="shared" ca="1" si="14"/>
        <v>0</v>
      </c>
      <c r="BD26" s="30">
        <f t="shared" ca="1" si="15"/>
        <v>10255</v>
      </c>
      <c r="BF26" s="34"/>
      <c r="BG26" s="31"/>
      <c r="BH26" s="31"/>
      <c r="BI26" s="31"/>
      <c r="BJ26" s="31"/>
    </row>
    <row r="27" spans="1:62" x14ac:dyDescent="0.3">
      <c r="C27" s="31"/>
      <c r="D27" s="31"/>
      <c r="E27" s="32"/>
      <c r="F27" s="8">
        <v>19</v>
      </c>
      <c r="G27" s="9">
        <v>1019</v>
      </c>
      <c r="H27" s="15" t="s">
        <v>20</v>
      </c>
      <c r="I27" s="17">
        <f t="shared" si="7"/>
        <v>4</v>
      </c>
      <c r="J27" s="18" t="s">
        <v>38</v>
      </c>
      <c r="K27" s="18" t="s">
        <v>39</v>
      </c>
      <c r="L27" s="18" t="s">
        <v>38</v>
      </c>
      <c r="M27" s="18" t="s">
        <v>38</v>
      </c>
      <c r="N27" s="18" t="s">
        <v>38</v>
      </c>
      <c r="O27" s="18" t="str">
        <f t="shared" si="17"/>
        <v>WO</v>
      </c>
      <c r="P27" s="18" t="s">
        <v>38</v>
      </c>
      <c r="Q27" s="18" t="s">
        <v>39</v>
      </c>
      <c r="R27" s="18" t="s">
        <v>38</v>
      </c>
      <c r="S27" s="18" t="s">
        <v>38</v>
      </c>
      <c r="T27" s="18" t="s">
        <v>38</v>
      </c>
      <c r="U27" s="18" t="s">
        <v>38</v>
      </c>
      <c r="V27" s="18" t="str">
        <f t="shared" si="17"/>
        <v>WO</v>
      </c>
      <c r="W27" s="18" t="s">
        <v>38</v>
      </c>
      <c r="X27" s="18" t="s">
        <v>39</v>
      </c>
      <c r="Y27" s="18" t="s">
        <v>38</v>
      </c>
      <c r="Z27" s="18" t="s">
        <v>38</v>
      </c>
      <c r="AA27" s="18" t="s">
        <v>38</v>
      </c>
      <c r="AB27" s="18" t="s">
        <v>38</v>
      </c>
      <c r="AC27" s="18" t="str">
        <f t="shared" si="16"/>
        <v>WO</v>
      </c>
      <c r="AD27" s="18" t="s">
        <v>38</v>
      </c>
      <c r="AE27" s="18" t="s">
        <v>39</v>
      </c>
      <c r="AF27" s="18" t="s">
        <v>38</v>
      </c>
      <c r="AG27" s="18" t="s">
        <v>38</v>
      </c>
      <c r="AH27" s="18" t="s">
        <v>38</v>
      </c>
      <c r="AI27" s="18" t="s">
        <v>38</v>
      </c>
      <c r="AJ27" s="18" t="str">
        <f t="shared" si="16"/>
        <v>WO</v>
      </c>
      <c r="AK27" s="18" t="s">
        <v>38</v>
      </c>
      <c r="AL27" s="18" t="s">
        <v>39</v>
      </c>
      <c r="AM27" s="18" t="s">
        <v>38</v>
      </c>
      <c r="AN27" s="19" t="s">
        <v>38</v>
      </c>
      <c r="AO27" s="32"/>
      <c r="AP27" s="34"/>
      <c r="AQ27" s="9">
        <v>19</v>
      </c>
      <c r="AR27" s="9">
        <v>1019</v>
      </c>
      <c r="AS27" s="9" t="str">
        <f t="shared" si="8"/>
        <v>July</v>
      </c>
      <c r="AT27" s="15" t="s">
        <v>20</v>
      </c>
      <c r="AU27" s="28">
        <f t="shared" si="4"/>
        <v>22</v>
      </c>
      <c r="AV27">
        <f t="shared" si="5"/>
        <v>5</v>
      </c>
      <c r="AW27">
        <f t="shared" si="6"/>
        <v>0</v>
      </c>
      <c r="AX27">
        <f t="shared" si="9"/>
        <v>4</v>
      </c>
      <c r="AY27" s="29">
        <f t="shared" si="10"/>
        <v>31</v>
      </c>
      <c r="AZ27" s="29">
        <f t="shared" si="11"/>
        <v>26</v>
      </c>
      <c r="BA27" s="30">
        <f t="shared" ca="1" si="12"/>
        <v>46384</v>
      </c>
      <c r="BB27" s="30">
        <f t="shared" ca="1" si="13"/>
        <v>1784</v>
      </c>
      <c r="BC27" s="30">
        <f t="shared" ca="1" si="14"/>
        <v>8920</v>
      </c>
      <c r="BD27" s="30">
        <f t="shared" ca="1" si="15"/>
        <v>37464</v>
      </c>
      <c r="BF27" s="34"/>
      <c r="BG27" s="31"/>
      <c r="BH27" s="31"/>
      <c r="BI27" s="31"/>
      <c r="BJ27" s="31"/>
    </row>
    <row r="28" spans="1:62" ht="15" thickBot="1" x14ac:dyDescent="0.35">
      <c r="C28" s="31"/>
      <c r="D28" s="31"/>
      <c r="E28" s="32"/>
      <c r="F28" s="10">
        <v>20</v>
      </c>
      <c r="G28" s="11">
        <v>1020</v>
      </c>
      <c r="H28" s="16" t="s">
        <v>21</v>
      </c>
      <c r="I28" s="20">
        <f t="shared" si="7"/>
        <v>4</v>
      </c>
      <c r="J28" s="21" t="s">
        <v>38</v>
      </c>
      <c r="K28" s="21" t="s">
        <v>38</v>
      </c>
      <c r="L28" s="21" t="s">
        <v>38</v>
      </c>
      <c r="M28" s="21" t="s">
        <v>39</v>
      </c>
      <c r="N28" s="21" t="s">
        <v>39</v>
      </c>
      <c r="O28" s="21" t="str">
        <f t="shared" si="17"/>
        <v>WO</v>
      </c>
      <c r="P28" s="21" t="s">
        <v>38</v>
      </c>
      <c r="Q28" s="21" t="s">
        <v>38</v>
      </c>
      <c r="R28" s="21" t="s">
        <v>38</v>
      </c>
      <c r="S28" s="21" t="s">
        <v>39</v>
      </c>
      <c r="T28" s="21" t="s">
        <v>39</v>
      </c>
      <c r="U28" s="21" t="s">
        <v>39</v>
      </c>
      <c r="V28" s="21" t="str">
        <f t="shared" si="17"/>
        <v>WO</v>
      </c>
      <c r="W28" s="21" t="s">
        <v>38</v>
      </c>
      <c r="X28" s="21" t="s">
        <v>38</v>
      </c>
      <c r="Y28" s="21" t="s">
        <v>38</v>
      </c>
      <c r="Z28" s="21" t="s">
        <v>39</v>
      </c>
      <c r="AA28" s="21" t="s">
        <v>39</v>
      </c>
      <c r="AB28" s="21" t="s">
        <v>39</v>
      </c>
      <c r="AC28" s="21" t="str">
        <f t="shared" si="16"/>
        <v>WO</v>
      </c>
      <c r="AD28" s="21" t="s">
        <v>38</v>
      </c>
      <c r="AE28" s="21" t="s">
        <v>38</v>
      </c>
      <c r="AF28" s="21" t="s">
        <v>38</v>
      </c>
      <c r="AG28" s="21" t="s">
        <v>39</v>
      </c>
      <c r="AH28" s="21" t="s">
        <v>39</v>
      </c>
      <c r="AI28" s="21" t="s">
        <v>39</v>
      </c>
      <c r="AJ28" s="21" t="str">
        <f t="shared" si="16"/>
        <v>WO</v>
      </c>
      <c r="AK28" s="21" t="s">
        <v>38</v>
      </c>
      <c r="AL28" s="21" t="s">
        <v>38</v>
      </c>
      <c r="AM28" s="21" t="s">
        <v>38</v>
      </c>
      <c r="AN28" s="22" t="s">
        <v>39</v>
      </c>
      <c r="AO28" s="32"/>
      <c r="AP28" s="34"/>
      <c r="AQ28" s="9">
        <v>20</v>
      </c>
      <c r="AR28" s="9">
        <v>1020</v>
      </c>
      <c r="AS28" s="9" t="str">
        <f t="shared" si="8"/>
        <v>July</v>
      </c>
      <c r="AT28" s="15" t="s">
        <v>21</v>
      </c>
      <c r="AU28" s="28">
        <f t="shared" si="4"/>
        <v>15</v>
      </c>
      <c r="AV28">
        <f t="shared" si="5"/>
        <v>12</v>
      </c>
      <c r="AW28">
        <f t="shared" si="6"/>
        <v>0</v>
      </c>
      <c r="AX28">
        <f t="shared" si="9"/>
        <v>4</v>
      </c>
      <c r="AY28" s="29">
        <f t="shared" si="10"/>
        <v>31</v>
      </c>
      <c r="AZ28" s="29">
        <f t="shared" si="11"/>
        <v>19</v>
      </c>
      <c r="BA28" s="30">
        <f t="shared" ca="1" si="12"/>
        <v>14019</v>
      </c>
      <c r="BB28" s="30">
        <f t="shared" ca="1" si="13"/>
        <v>737.84210526315792</v>
      </c>
      <c r="BC28" s="30">
        <f t="shared" ca="1" si="14"/>
        <v>8854.105263157895</v>
      </c>
      <c r="BD28" s="30">
        <f t="shared" ca="1" si="15"/>
        <v>5164.894736842105</v>
      </c>
      <c r="BF28" s="34"/>
      <c r="BG28" s="31"/>
      <c r="BH28" s="31"/>
      <c r="BI28" s="31"/>
      <c r="BJ28" s="31"/>
    </row>
    <row r="29" spans="1:62" x14ac:dyDescent="0.3">
      <c r="A29" s="31"/>
      <c r="B29" s="31"/>
      <c r="C29" s="31"/>
      <c r="D29" s="31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1"/>
      <c r="BH29" s="31"/>
      <c r="BI29" s="31"/>
      <c r="BJ29" s="31"/>
    </row>
    <row r="30" spans="1:62" x14ac:dyDescent="0.3">
      <c r="A30" s="31"/>
      <c r="B30" s="31"/>
      <c r="C30" s="31"/>
      <c r="D30" s="31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1"/>
      <c r="BH30" s="31"/>
      <c r="BI30" s="31"/>
      <c r="BJ30" s="31"/>
    </row>
    <row r="31" spans="1:62" x14ac:dyDescent="0.3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</row>
    <row r="32" spans="1:62" x14ac:dyDescent="0.3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</row>
    <row r="33" spans="1:62" x14ac:dyDescent="0.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</row>
    <row r="34" spans="1:62" x14ac:dyDescent="0.3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</row>
    <row r="35" spans="1:62" x14ac:dyDescent="0.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</row>
    <row r="36" spans="1:62" x14ac:dyDescent="0.3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</row>
    <row r="37" spans="1:62" x14ac:dyDescent="0.3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</row>
    <row r="38" spans="1:62" x14ac:dyDescent="0.3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</row>
    <row r="39" spans="1:62" x14ac:dyDescent="0.3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</row>
    <row r="40" spans="1:62" x14ac:dyDescent="0.3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</row>
    <row r="41" spans="1:62" x14ac:dyDescent="0.3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</row>
    <row r="42" spans="1:62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</row>
    <row r="43" spans="1:62" x14ac:dyDescent="0.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</row>
    <row r="44" spans="1:62" x14ac:dyDescent="0.3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</row>
    <row r="45" spans="1:62" x14ac:dyDescent="0.3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</row>
    <row r="46" spans="1:62" x14ac:dyDescent="0.3">
      <c r="AO46" s="31"/>
      <c r="AP46" s="31"/>
      <c r="BF46" s="31"/>
      <c r="BG46" s="31"/>
      <c r="BH46" s="31"/>
      <c r="BI46" s="31"/>
      <c r="BJ46" s="31"/>
    </row>
    <row r="47" spans="1:62" x14ac:dyDescent="0.3">
      <c r="AO47" s="31"/>
      <c r="AP47" s="31"/>
      <c r="BF47" s="31"/>
      <c r="BG47" s="31"/>
      <c r="BH47" s="31"/>
      <c r="BI47" s="31"/>
      <c r="BJ47" s="31"/>
    </row>
    <row r="48" spans="1:62" x14ac:dyDescent="0.3">
      <c r="AO48" s="31"/>
      <c r="AP48" s="31"/>
      <c r="BF48" s="31"/>
      <c r="BG48" s="31"/>
      <c r="BH48" s="31"/>
      <c r="BI48" s="31"/>
      <c r="BJ48" s="31"/>
    </row>
    <row r="49" spans="41:62" x14ac:dyDescent="0.3">
      <c r="AO49" s="31"/>
      <c r="AP49" s="31"/>
      <c r="BF49" s="31"/>
      <c r="BG49" s="31"/>
      <c r="BH49" s="31"/>
      <c r="BI49" s="31"/>
      <c r="BJ49" s="31"/>
    </row>
  </sheetData>
  <conditionalFormatting sqref="J9:N28">
    <cfRule type="containsText" dxfId="194" priority="28" operator="containsText" text="WO">
      <formula>NOT(ISERROR(SEARCH("WO",J9)))</formula>
    </cfRule>
    <cfRule type="containsText" dxfId="193" priority="25" operator="containsText" text="L">
      <formula>NOT(ISERROR(SEARCH("L",J9)))</formula>
    </cfRule>
    <cfRule type="containsText" dxfId="192" priority="26" operator="containsText" text="A">
      <formula>NOT(ISERROR(SEARCH("A",J9)))</formula>
    </cfRule>
    <cfRule type="containsText" dxfId="191" priority="27" operator="containsText" text="P">
      <formula>NOT(ISERROR(SEARCH("P",J9)))</formula>
    </cfRule>
  </conditionalFormatting>
  <conditionalFormatting sqref="O9:O28 V9:V28 AC9:AC28 AJ9:AJ28">
    <cfRule type="containsText" dxfId="190" priority="73" operator="containsText" text="WO">
      <formula>NOT(ISERROR(SEARCH("WO",O9)))</formula>
    </cfRule>
    <cfRule type="containsText" dxfId="189" priority="54" operator="containsText" text="A">
      <formula>NOT(ISERROR(SEARCH("A",O9)))</formula>
    </cfRule>
    <cfRule type="containsText" dxfId="188" priority="53" operator="containsText" text="L">
      <formula>NOT(ISERROR(SEARCH("L",O9)))</formula>
    </cfRule>
    <cfRule type="containsText" dxfId="187" priority="55" operator="containsText" text="P">
      <formula>NOT(ISERROR(SEARCH("P",O9)))</formula>
    </cfRule>
    <cfRule type="containsText" dxfId="186" priority="65" operator="containsText" text="A">
      <formula>NOT(ISERROR(SEARCH("A",O9)))</formula>
    </cfRule>
    <cfRule type="containsText" dxfId="185" priority="69" operator="containsText" text="P">
      <formula>NOT(ISERROR(SEARCH("P",O9)))</formula>
    </cfRule>
    <cfRule type="containsText" dxfId="184" priority="70" operator="containsText" text="L">
      <formula>NOT(ISERROR(SEARCH("L",O9)))</formula>
    </cfRule>
    <cfRule type="containsText" dxfId="183" priority="71" operator="containsText" text="A">
      <formula>NOT(ISERROR(SEARCH("A",O9)))</formula>
    </cfRule>
    <cfRule type="containsText" dxfId="182" priority="72" operator="containsText" text="P">
      <formula>NOT(ISERROR(SEARCH("P",O9)))</formula>
    </cfRule>
  </conditionalFormatting>
  <conditionalFormatting sqref="O9:O28">
    <cfRule type="containsText" dxfId="181" priority="63" operator="containsText" text="A">
      <formula>NOT(ISERROR(SEARCH("A",O9)))</formula>
    </cfRule>
    <cfRule type="containsText" dxfId="180" priority="64" operator="containsText" text="P">
      <formula>NOT(ISERROR(SEARCH("P",O9)))</formula>
    </cfRule>
  </conditionalFormatting>
  <conditionalFormatting sqref="P9:U28">
    <cfRule type="containsText" dxfId="179" priority="17" operator="containsText" text="L">
      <formula>NOT(ISERROR(SEARCH("L",P9)))</formula>
    </cfRule>
    <cfRule type="containsText" dxfId="178" priority="18" operator="containsText" text="A">
      <formula>NOT(ISERROR(SEARCH("A",P9)))</formula>
    </cfRule>
    <cfRule type="containsText" dxfId="177" priority="19" operator="containsText" text="P">
      <formula>NOT(ISERROR(SEARCH("P",P9)))</formula>
    </cfRule>
    <cfRule type="containsText" dxfId="176" priority="20" operator="containsText" text="WO">
      <formula>NOT(ISERROR(SEARCH("WO",P9)))</formula>
    </cfRule>
  </conditionalFormatting>
  <conditionalFormatting sqref="V9:V28">
    <cfRule type="containsText" dxfId="175" priority="60" operator="containsText" text="A">
      <formula>NOT(ISERROR(SEARCH("A",V9)))</formula>
    </cfRule>
    <cfRule type="containsText" dxfId="174" priority="61" operator="containsText" text="P">
      <formula>NOT(ISERROR(SEARCH("P",V9)))</formula>
    </cfRule>
  </conditionalFormatting>
  <conditionalFormatting sqref="W9:AB28">
    <cfRule type="containsText" dxfId="173" priority="9" operator="containsText" text="L">
      <formula>NOT(ISERROR(SEARCH("L",W9)))</formula>
    </cfRule>
    <cfRule type="containsText" dxfId="172" priority="10" operator="containsText" text="A">
      <formula>NOT(ISERROR(SEARCH("A",W9)))</formula>
    </cfRule>
    <cfRule type="containsText" dxfId="171" priority="11" operator="containsText" text="P">
      <formula>NOT(ISERROR(SEARCH("P",W9)))</formula>
    </cfRule>
    <cfRule type="containsText" dxfId="170" priority="12" operator="containsText" text="WO">
      <formula>NOT(ISERROR(SEARCH("WO",W9)))</formula>
    </cfRule>
  </conditionalFormatting>
  <conditionalFormatting sqref="AC9:AC28">
    <cfRule type="containsText" dxfId="169" priority="58" operator="containsText" text="A">
      <formula>NOT(ISERROR(SEARCH("A",AC9)))</formula>
    </cfRule>
    <cfRule type="containsText" dxfId="168" priority="59" operator="containsText" text="P">
      <formula>NOT(ISERROR(SEARCH("P",AC9)))</formula>
    </cfRule>
  </conditionalFormatting>
  <conditionalFormatting sqref="AD9:AI28">
    <cfRule type="containsText" dxfId="167" priority="2" operator="containsText" text="A">
      <formula>NOT(ISERROR(SEARCH("A",AD9)))</formula>
    </cfRule>
    <cfRule type="containsText" dxfId="166" priority="3" operator="containsText" text="P">
      <formula>NOT(ISERROR(SEARCH("P",AD9)))</formula>
    </cfRule>
    <cfRule type="containsText" dxfId="165" priority="4" operator="containsText" text="WO">
      <formula>NOT(ISERROR(SEARCH("WO",AD9)))</formula>
    </cfRule>
    <cfRule type="containsText" dxfId="164" priority="1" operator="containsText" text="L">
      <formula>NOT(ISERROR(SEARCH("L",AD9)))</formula>
    </cfRule>
  </conditionalFormatting>
  <conditionalFormatting sqref="AJ9:AJ28">
    <cfRule type="containsText" dxfId="163" priority="56" operator="containsText" text="A">
      <formula>NOT(ISERROR(SEARCH("A",AJ9)))</formula>
    </cfRule>
    <cfRule type="containsText" dxfId="162" priority="57" operator="containsText" text="P">
      <formula>NOT(ISERROR(SEARCH("P",AJ9)))</formula>
    </cfRule>
  </conditionalFormatting>
  <conditionalFormatting sqref="AK9:AN28">
    <cfRule type="containsText" dxfId="161" priority="33" operator="containsText" text="L">
      <formula>NOT(ISERROR(SEARCH("L",AK9)))</formula>
    </cfRule>
    <cfRule type="containsText" dxfId="160" priority="36" operator="containsText" text="WO">
      <formula>NOT(ISERROR(SEARCH("WO",AK9)))</formula>
    </cfRule>
    <cfRule type="containsText" dxfId="159" priority="34" operator="containsText" text="A">
      <formula>NOT(ISERROR(SEARCH("A",AK9)))</formula>
    </cfRule>
    <cfRule type="containsText" dxfId="158" priority="35" operator="containsText" text="P">
      <formula>NOT(ISERROR(SEARCH("P",AK9)))</formula>
    </cfRule>
  </conditionalFormatting>
  <dataValidations count="1">
    <dataValidation type="list" allowBlank="1" showInputMessage="1" showErrorMessage="1" sqref="F7:I28 J7:AN8 AK9:AN28 P9:U28 W9:AB28 AD9:AI28 J9:N28" xr:uid="{78AB784F-DBD7-4689-8E68-057893DE0B79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AD327E8-9357-40A4-A086-013CFC3E9AFF}">
          <x14:formula1>
            <xm:f>Rough!$A$1:$A$12</xm:f>
          </x14:formula1>
          <xm:sqref>G5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A75647FD-617A-46BD-B9AA-4F00BA42FF4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July!AU9:AX9</xm:f>
              <xm:sqref>BE9</xm:sqref>
            </x14:sparkline>
            <x14:sparkline>
              <xm:f>July!AU10:AX10</xm:f>
              <xm:sqref>BE10</xm:sqref>
            </x14:sparkline>
            <x14:sparkline>
              <xm:f>July!AU11:AX11</xm:f>
              <xm:sqref>BE11</xm:sqref>
            </x14:sparkline>
            <x14:sparkline>
              <xm:f>July!AU12:AX12</xm:f>
              <xm:sqref>BE12</xm:sqref>
            </x14:sparkline>
            <x14:sparkline>
              <xm:f>July!AU13:AX13</xm:f>
              <xm:sqref>BE13</xm:sqref>
            </x14:sparkline>
            <x14:sparkline>
              <xm:f>July!AU14:AX14</xm:f>
              <xm:sqref>BE14</xm:sqref>
            </x14:sparkline>
            <x14:sparkline>
              <xm:f>July!AU15:AX15</xm:f>
              <xm:sqref>BE15</xm:sqref>
            </x14:sparkline>
            <x14:sparkline>
              <xm:f>July!AU16:AX16</xm:f>
              <xm:sqref>BE16</xm:sqref>
            </x14:sparkline>
            <x14:sparkline>
              <xm:f>July!AU17:AX17</xm:f>
              <xm:sqref>BE17</xm:sqref>
            </x14:sparkline>
            <x14:sparkline>
              <xm:f>July!AU18:AX18</xm:f>
              <xm:sqref>BE18</xm:sqref>
            </x14:sparkline>
            <x14:sparkline>
              <xm:f>July!AU19:AX19</xm:f>
              <xm:sqref>BE19</xm:sqref>
            </x14:sparkline>
            <x14:sparkline>
              <xm:f>July!AU20:AX20</xm:f>
              <xm:sqref>BE20</xm:sqref>
            </x14:sparkline>
            <x14:sparkline>
              <xm:f>July!AU21:AX21</xm:f>
              <xm:sqref>BE21</xm:sqref>
            </x14:sparkline>
            <x14:sparkline>
              <xm:f>July!AU22:AX22</xm:f>
              <xm:sqref>BE22</xm:sqref>
            </x14:sparkline>
            <x14:sparkline>
              <xm:f>July!AU23:AX23</xm:f>
              <xm:sqref>BE23</xm:sqref>
            </x14:sparkline>
            <x14:sparkline>
              <xm:f>July!AU24:AX24</xm:f>
              <xm:sqref>BE24</xm:sqref>
            </x14:sparkline>
            <x14:sparkline>
              <xm:f>July!AU25:AX25</xm:f>
              <xm:sqref>BE25</xm:sqref>
            </x14:sparkline>
            <x14:sparkline>
              <xm:f>July!AU26:AX26</xm:f>
              <xm:sqref>BE26</xm:sqref>
            </x14:sparkline>
            <x14:sparkline>
              <xm:f>July!AU27:AX27</xm:f>
              <xm:sqref>BE27</xm:sqref>
            </x14:sparkline>
            <x14:sparkline>
              <xm:f>July!AU28:AX28</xm:f>
              <xm:sqref>BE28</xm:sqref>
            </x14:sparkline>
          </x14:sparklines>
        </x14:sparklineGroup>
      </x14:sparklineGroup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0FF4A-A009-4410-9E5D-C12D774847E6}">
  <dimension ref="A1:BJ49"/>
  <sheetViews>
    <sheetView topLeftCell="AK4" workbookViewId="0">
      <selection activeCell="AY4" sqref="AY4:AY5"/>
    </sheetView>
  </sheetViews>
  <sheetFormatPr defaultRowHeight="14.4" x14ac:dyDescent="0.3"/>
  <cols>
    <col min="6" max="6" width="6.33203125" bestFit="1" customWidth="1"/>
    <col min="7" max="7" width="14.33203125" bestFit="1" customWidth="1"/>
    <col min="8" max="8" width="18.77734375" bestFit="1" customWidth="1"/>
    <col min="9" max="9" width="10.5546875" bestFit="1" customWidth="1"/>
    <col min="10" max="10" width="5.5546875" customWidth="1"/>
    <col min="11" max="11" width="4" bestFit="1" customWidth="1"/>
    <col min="12" max="12" width="3.88671875" customWidth="1"/>
    <col min="13" max="13" width="3.5546875" bestFit="1" customWidth="1"/>
    <col min="14" max="14" width="3.88671875" bestFit="1" customWidth="1"/>
    <col min="15" max="15" width="4.77734375" bestFit="1" customWidth="1"/>
    <col min="16" max="16" width="4" bestFit="1" customWidth="1"/>
    <col min="17" max="17" width="4.77734375" bestFit="1" customWidth="1"/>
    <col min="18" max="18" width="4" bestFit="1" customWidth="1"/>
    <col min="19" max="19" width="3.44140625" customWidth="1"/>
    <col min="20" max="20" width="3.5546875" bestFit="1" customWidth="1"/>
    <col min="21" max="21" width="3.88671875" bestFit="1" customWidth="1"/>
    <col min="22" max="22" width="4.77734375" bestFit="1" customWidth="1"/>
    <col min="23" max="23" width="4" bestFit="1" customWidth="1"/>
    <col min="24" max="24" width="4.77734375" bestFit="1" customWidth="1"/>
    <col min="25" max="25" width="4" bestFit="1" customWidth="1"/>
    <col min="26" max="26" width="3.44140625" customWidth="1"/>
    <col min="27" max="27" width="3.5546875" bestFit="1" customWidth="1"/>
    <col min="28" max="28" width="3.88671875" bestFit="1" customWidth="1"/>
    <col min="29" max="29" width="4.77734375" bestFit="1" customWidth="1"/>
    <col min="30" max="30" width="4" bestFit="1" customWidth="1"/>
    <col min="31" max="31" width="4.77734375" bestFit="1" customWidth="1"/>
    <col min="32" max="32" width="4" bestFit="1" customWidth="1"/>
    <col min="33" max="33" width="4" customWidth="1"/>
    <col min="34" max="34" width="3.5546875" bestFit="1" customWidth="1"/>
    <col min="35" max="35" width="3.88671875" bestFit="1" customWidth="1"/>
    <col min="36" max="36" width="4.77734375" bestFit="1" customWidth="1"/>
    <col min="37" max="37" width="4" bestFit="1" customWidth="1"/>
    <col min="38" max="38" width="4.77734375" bestFit="1" customWidth="1"/>
    <col min="39" max="39" width="4" bestFit="1" customWidth="1"/>
    <col min="40" max="40" width="3.44140625" customWidth="1"/>
    <col min="44" max="44" width="16" customWidth="1"/>
    <col min="45" max="45" width="13.6640625" customWidth="1"/>
    <col min="46" max="46" width="20.33203125" customWidth="1"/>
    <col min="47" max="47" width="11" customWidth="1"/>
    <col min="48" max="48" width="10.33203125" customWidth="1"/>
    <col min="49" max="49" width="9.109375" customWidth="1"/>
    <col min="50" max="50" width="13" customWidth="1"/>
    <col min="51" max="51" width="8" customWidth="1"/>
    <col min="52" max="52" width="13.6640625" customWidth="1"/>
    <col min="53" max="53" width="11.5546875" bestFit="1" customWidth="1"/>
    <col min="54" max="54" width="17.77734375" customWidth="1"/>
    <col min="55" max="55" width="13.88671875" customWidth="1"/>
    <col min="56" max="56" width="15.21875" customWidth="1"/>
    <col min="57" max="57" width="12.77734375" customWidth="1"/>
  </cols>
  <sheetData>
    <row r="1" spans="1:62" x14ac:dyDescent="0.3">
      <c r="AP1" s="31"/>
      <c r="BF1" s="31"/>
      <c r="BG1" s="31"/>
      <c r="BH1" s="31"/>
      <c r="BI1" s="31"/>
      <c r="BJ1" s="31"/>
    </row>
    <row r="2" spans="1:62" x14ac:dyDescent="0.3">
      <c r="AP2" s="31"/>
      <c r="BF2" s="31"/>
      <c r="BG2" s="31"/>
      <c r="BH2" s="31"/>
      <c r="BI2" s="31"/>
      <c r="BJ2" s="31"/>
    </row>
    <row r="3" spans="1:62" x14ac:dyDescent="0.3">
      <c r="AP3" s="31"/>
      <c r="BF3" s="31"/>
      <c r="BG3" s="31"/>
      <c r="BH3" s="31"/>
      <c r="BI3" s="31"/>
      <c r="BJ3" s="31"/>
    </row>
    <row r="4" spans="1:62" x14ac:dyDescent="0.3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</row>
    <row r="5" spans="1:62" x14ac:dyDescent="0.3">
      <c r="A5" s="31"/>
      <c r="B5" s="31"/>
      <c r="C5" s="31"/>
      <c r="D5" s="31"/>
      <c r="E5" s="35" t="str">
        <f>TEXT(G5,"mmmm")</f>
        <v>August</v>
      </c>
      <c r="F5" s="35" t="s">
        <v>26</v>
      </c>
      <c r="G5" s="36">
        <v>45870</v>
      </c>
      <c r="H5" s="37">
        <f>(DATEDIF($G$5,$J$5,"D"))+1</f>
        <v>31</v>
      </c>
      <c r="I5" s="35" t="s">
        <v>27</v>
      </c>
      <c r="J5" s="36">
        <f>EOMONTH(G5,0)</f>
        <v>45900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</row>
    <row r="6" spans="1:62" ht="15" thickBot="1" x14ac:dyDescent="0.35">
      <c r="A6" s="31"/>
      <c r="B6" s="31"/>
      <c r="C6" s="31"/>
      <c r="D6" s="31"/>
      <c r="E6" s="32"/>
      <c r="F6" s="32"/>
      <c r="G6" s="32"/>
      <c r="H6" s="32"/>
      <c r="I6" s="32"/>
      <c r="J6" s="33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1"/>
      <c r="BH6" s="31"/>
      <c r="BI6" s="31"/>
      <c r="BJ6" s="31"/>
    </row>
    <row r="7" spans="1:62" ht="15" thickBot="1" x14ac:dyDescent="0.35">
      <c r="C7" s="31"/>
      <c r="D7" s="31"/>
      <c r="E7" s="32"/>
      <c r="F7" s="5"/>
      <c r="G7" s="6" t="s">
        <v>29</v>
      </c>
      <c r="H7" s="7"/>
      <c r="I7" s="5" t="s">
        <v>28</v>
      </c>
      <c r="J7" s="23" t="str">
        <f>TEXT(J8,"DDD")</f>
        <v>Fri</v>
      </c>
      <c r="K7" s="23" t="str">
        <f>TEXT(K8,"DDD")</f>
        <v>Sat</v>
      </c>
      <c r="L7" s="23" t="str">
        <f t="shared" ref="L7:AI7" si="0">TEXT(L8,"DDD")</f>
        <v>Sun</v>
      </c>
      <c r="M7" s="23" t="str">
        <f t="shared" si="0"/>
        <v>Mon</v>
      </c>
      <c r="N7" s="23" t="str">
        <f t="shared" si="0"/>
        <v>Tue</v>
      </c>
      <c r="O7" s="23" t="str">
        <f t="shared" si="0"/>
        <v>Wed</v>
      </c>
      <c r="P7" s="23" t="str">
        <f t="shared" si="0"/>
        <v>Thu</v>
      </c>
      <c r="Q7" s="23" t="str">
        <f t="shared" si="0"/>
        <v>Fri</v>
      </c>
      <c r="R7" s="23" t="str">
        <f t="shared" si="0"/>
        <v>Sat</v>
      </c>
      <c r="S7" s="23" t="str">
        <f t="shared" si="0"/>
        <v>Sun</v>
      </c>
      <c r="T7" s="23" t="str">
        <f t="shared" si="0"/>
        <v>Mon</v>
      </c>
      <c r="U7" s="23" t="str">
        <f t="shared" si="0"/>
        <v>Tue</v>
      </c>
      <c r="V7" s="23" t="str">
        <f t="shared" si="0"/>
        <v>Wed</v>
      </c>
      <c r="W7" s="23" t="str">
        <f t="shared" si="0"/>
        <v>Thu</v>
      </c>
      <c r="X7" s="23" t="str">
        <f t="shared" si="0"/>
        <v>Fri</v>
      </c>
      <c r="Y7" s="23" t="str">
        <f t="shared" si="0"/>
        <v>Sat</v>
      </c>
      <c r="Z7" s="23" t="str">
        <f t="shared" si="0"/>
        <v>Sun</v>
      </c>
      <c r="AA7" s="23" t="str">
        <f t="shared" si="0"/>
        <v>Mon</v>
      </c>
      <c r="AB7" s="23" t="str">
        <f t="shared" si="0"/>
        <v>Tue</v>
      </c>
      <c r="AC7" s="23" t="str">
        <f t="shared" si="0"/>
        <v>Wed</v>
      </c>
      <c r="AD7" s="23" t="str">
        <f t="shared" si="0"/>
        <v>Thu</v>
      </c>
      <c r="AE7" s="23" t="str">
        <f t="shared" si="0"/>
        <v>Fri</v>
      </c>
      <c r="AF7" s="23" t="str">
        <f t="shared" si="0"/>
        <v>Sat</v>
      </c>
      <c r="AG7" s="23" t="str">
        <f t="shared" si="0"/>
        <v>Sun</v>
      </c>
      <c r="AH7" s="23" t="str">
        <f t="shared" si="0"/>
        <v>Mon</v>
      </c>
      <c r="AI7" s="23" t="str">
        <f t="shared" si="0"/>
        <v>Tue</v>
      </c>
      <c r="AJ7" s="23" t="str">
        <f>TEXT(AJ8,"DDD")</f>
        <v>Wed</v>
      </c>
      <c r="AK7" s="23" t="str">
        <f>TEXT(AK8,"DDD")</f>
        <v>Thu</v>
      </c>
      <c r="AL7" s="23" t="str">
        <f t="shared" ref="AL7:AN7" si="1">TEXT(AL8,"DDD")</f>
        <v>Fri</v>
      </c>
      <c r="AM7" s="23" t="str">
        <f t="shared" si="1"/>
        <v>Sat</v>
      </c>
      <c r="AN7" s="24" t="str">
        <f t="shared" si="1"/>
        <v>Sun</v>
      </c>
      <c r="AO7" s="32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1"/>
      <c r="BH7" s="31"/>
      <c r="BI7" s="31"/>
      <c r="BJ7" s="31"/>
    </row>
    <row r="8" spans="1:62" ht="18.600000000000001" thickBot="1" x14ac:dyDescent="0.4">
      <c r="C8" s="31"/>
      <c r="D8" s="31"/>
      <c r="E8" s="32"/>
      <c r="F8" s="12" t="s">
        <v>23</v>
      </c>
      <c r="G8" s="13" t="s">
        <v>2</v>
      </c>
      <c r="H8" s="14" t="s">
        <v>24</v>
      </c>
      <c r="I8" s="25" t="s">
        <v>25</v>
      </c>
      <c r="J8" s="26">
        <f>G5</f>
        <v>45870</v>
      </c>
      <c r="K8" s="26">
        <f>IF(J8&lt;$J$5,J8+1,"")</f>
        <v>45871</v>
      </c>
      <c r="L8" s="26">
        <f t="shared" ref="L8:AN8" si="2">IF(K8&lt;$J$5,K8+1,"")</f>
        <v>45872</v>
      </c>
      <c r="M8" s="26">
        <f t="shared" si="2"/>
        <v>45873</v>
      </c>
      <c r="N8" s="26">
        <f t="shared" si="2"/>
        <v>45874</v>
      </c>
      <c r="O8" s="26">
        <f t="shared" si="2"/>
        <v>45875</v>
      </c>
      <c r="P8" s="26">
        <f t="shared" si="2"/>
        <v>45876</v>
      </c>
      <c r="Q8" s="26">
        <f t="shared" si="2"/>
        <v>45877</v>
      </c>
      <c r="R8" s="26">
        <f t="shared" si="2"/>
        <v>45878</v>
      </c>
      <c r="S8" s="26">
        <f t="shared" si="2"/>
        <v>45879</v>
      </c>
      <c r="T8" s="26">
        <f t="shared" si="2"/>
        <v>45880</v>
      </c>
      <c r="U8" s="26">
        <f t="shared" si="2"/>
        <v>45881</v>
      </c>
      <c r="V8" s="26">
        <f t="shared" si="2"/>
        <v>45882</v>
      </c>
      <c r="W8" s="26">
        <f t="shared" si="2"/>
        <v>45883</v>
      </c>
      <c r="X8" s="26">
        <f t="shared" si="2"/>
        <v>45884</v>
      </c>
      <c r="Y8" s="26">
        <f t="shared" si="2"/>
        <v>45885</v>
      </c>
      <c r="Z8" s="26">
        <f t="shared" si="2"/>
        <v>45886</v>
      </c>
      <c r="AA8" s="26">
        <f t="shared" si="2"/>
        <v>45887</v>
      </c>
      <c r="AB8" s="26">
        <f t="shared" si="2"/>
        <v>45888</v>
      </c>
      <c r="AC8" s="26">
        <f t="shared" si="2"/>
        <v>45889</v>
      </c>
      <c r="AD8" s="26">
        <f t="shared" si="2"/>
        <v>45890</v>
      </c>
      <c r="AE8" s="26">
        <f t="shared" si="2"/>
        <v>45891</v>
      </c>
      <c r="AF8" s="26">
        <f t="shared" si="2"/>
        <v>45892</v>
      </c>
      <c r="AG8" s="26">
        <f t="shared" si="2"/>
        <v>45893</v>
      </c>
      <c r="AH8" s="26">
        <f t="shared" si="2"/>
        <v>45894</v>
      </c>
      <c r="AI8" s="26">
        <f t="shared" si="2"/>
        <v>45895</v>
      </c>
      <c r="AJ8" s="26">
        <f t="shared" si="2"/>
        <v>45896</v>
      </c>
      <c r="AK8" s="26">
        <f t="shared" si="2"/>
        <v>45897</v>
      </c>
      <c r="AL8" s="26">
        <f t="shared" si="2"/>
        <v>45898</v>
      </c>
      <c r="AM8" s="26">
        <f t="shared" si="2"/>
        <v>45899</v>
      </c>
      <c r="AN8" s="27">
        <f t="shared" si="2"/>
        <v>45900</v>
      </c>
      <c r="AO8" s="32"/>
      <c r="AP8" s="34"/>
      <c r="AQ8" s="38" t="s">
        <v>23</v>
      </c>
      <c r="AR8" s="38" t="s">
        <v>2</v>
      </c>
      <c r="AS8" s="38" t="s">
        <v>42</v>
      </c>
      <c r="AT8" s="39" t="s">
        <v>24</v>
      </c>
      <c r="AU8" s="40" t="s">
        <v>30</v>
      </c>
      <c r="AV8" s="38" t="s">
        <v>31</v>
      </c>
      <c r="AW8" s="38" t="s">
        <v>32</v>
      </c>
      <c r="AX8" s="38" t="s">
        <v>25</v>
      </c>
      <c r="AY8" s="38" t="s">
        <v>28</v>
      </c>
      <c r="AZ8" s="38" t="s">
        <v>33</v>
      </c>
      <c r="BA8" s="38" t="s">
        <v>34</v>
      </c>
      <c r="BB8" s="38" t="s">
        <v>35</v>
      </c>
      <c r="BC8" s="40" t="s">
        <v>36</v>
      </c>
      <c r="BD8" s="38" t="s">
        <v>37</v>
      </c>
      <c r="BE8" s="38" t="s">
        <v>41</v>
      </c>
      <c r="BF8" s="34"/>
      <c r="BG8" s="31"/>
      <c r="BH8" s="31"/>
      <c r="BI8" s="31"/>
      <c r="BJ8" s="31"/>
    </row>
    <row r="9" spans="1:62" x14ac:dyDescent="0.3">
      <c r="C9" s="31"/>
      <c r="D9" s="31"/>
      <c r="E9" s="32"/>
      <c r="F9" s="8">
        <v>1</v>
      </c>
      <c r="G9" s="9">
        <v>1001</v>
      </c>
      <c r="H9" s="15" t="s">
        <v>3</v>
      </c>
      <c r="I9" s="17">
        <f>COUNTIF($J$7:$AN$7,"Sun")</f>
        <v>5</v>
      </c>
      <c r="J9" s="18" t="s">
        <v>38</v>
      </c>
      <c r="K9" s="18" t="s">
        <v>38</v>
      </c>
      <c r="L9" s="18" t="str">
        <f t="shared" ref="L9:AN17" si="3">IF(L$7="Sun","WO","")</f>
        <v>WO</v>
      </c>
      <c r="M9" s="18" t="s">
        <v>38</v>
      </c>
      <c r="N9" s="18" t="s">
        <v>38</v>
      </c>
      <c r="O9" s="18" t="s">
        <v>38</v>
      </c>
      <c r="P9" s="18" t="s">
        <v>38</v>
      </c>
      <c r="Q9" s="18" t="s">
        <v>38</v>
      </c>
      <c r="R9" s="18" t="s">
        <v>38</v>
      </c>
      <c r="S9" s="18" t="str">
        <f t="shared" si="3"/>
        <v>WO</v>
      </c>
      <c r="T9" s="18" t="s">
        <v>38</v>
      </c>
      <c r="U9" s="18" t="s">
        <v>38</v>
      </c>
      <c r="V9" s="18" t="s">
        <v>38</v>
      </c>
      <c r="W9" s="18" t="s">
        <v>38</v>
      </c>
      <c r="X9" s="18" t="s">
        <v>38</v>
      </c>
      <c r="Y9" s="18" t="s">
        <v>38</v>
      </c>
      <c r="Z9" s="18" t="str">
        <f t="shared" si="3"/>
        <v>WO</v>
      </c>
      <c r="AA9" s="18" t="s">
        <v>38</v>
      </c>
      <c r="AB9" s="18" t="s">
        <v>38</v>
      </c>
      <c r="AC9" s="18" t="s">
        <v>38</v>
      </c>
      <c r="AD9" s="18" t="s">
        <v>38</v>
      </c>
      <c r="AE9" s="18" t="s">
        <v>38</v>
      </c>
      <c r="AF9" s="18" t="s">
        <v>38</v>
      </c>
      <c r="AG9" s="18" t="str">
        <f t="shared" si="3"/>
        <v>WO</v>
      </c>
      <c r="AH9" s="18" t="s">
        <v>38</v>
      </c>
      <c r="AI9" s="18" t="s">
        <v>38</v>
      </c>
      <c r="AJ9" s="18" t="s">
        <v>38</v>
      </c>
      <c r="AK9" s="18" t="s">
        <v>38</v>
      </c>
      <c r="AL9" s="18" t="s">
        <v>38</v>
      </c>
      <c r="AM9" s="18" t="s">
        <v>38</v>
      </c>
      <c r="AN9" s="19" t="str">
        <f t="shared" si="3"/>
        <v>WO</v>
      </c>
      <c r="AO9" s="32"/>
      <c r="AP9" s="34"/>
      <c r="AQ9" s="9">
        <v>1</v>
      </c>
      <c r="AR9" s="9">
        <v>1001</v>
      </c>
      <c r="AS9" s="9" t="str">
        <f>$E$5</f>
        <v>August</v>
      </c>
      <c r="AT9" s="15" t="s">
        <v>3</v>
      </c>
      <c r="AU9" s="28">
        <f t="shared" ref="AU9:AU28" si="4">COUNTIF($J9:$AN9,"P")</f>
        <v>26</v>
      </c>
      <c r="AV9">
        <f t="shared" ref="AV9:AV28" si="5">COUNTIF($J9:$AN9,"A")</f>
        <v>0</v>
      </c>
      <c r="AW9">
        <f t="shared" ref="AW9:AW28" si="6">COUNTIF($J9:$AN9,"L")</f>
        <v>0</v>
      </c>
      <c r="AX9">
        <f>$I$9</f>
        <v>5</v>
      </c>
      <c r="AY9" s="29">
        <f>$H$5</f>
        <v>31</v>
      </c>
      <c r="AZ9" s="29">
        <f>AY9-AV9</f>
        <v>31</v>
      </c>
      <c r="BA9" s="30">
        <f ca="1">RANDBETWEEN(10000,50000)</f>
        <v>42328</v>
      </c>
      <c r="BB9" s="30">
        <f ca="1">BA9/AZ9</f>
        <v>1365.4193548387098</v>
      </c>
      <c r="BC9" s="30">
        <f ca="1">BB9*AV9</f>
        <v>0</v>
      </c>
      <c r="BD9" s="30">
        <f ca="1">BA9-BC9</f>
        <v>42328</v>
      </c>
      <c r="BF9" s="34"/>
      <c r="BG9" s="31"/>
      <c r="BH9" s="31"/>
      <c r="BI9" s="31"/>
      <c r="BJ9" s="31"/>
    </row>
    <row r="10" spans="1:62" x14ac:dyDescent="0.3">
      <c r="C10" s="31"/>
      <c r="D10" s="31"/>
      <c r="E10" s="32"/>
      <c r="F10" s="8">
        <v>2</v>
      </c>
      <c r="G10" s="9">
        <v>1002</v>
      </c>
      <c r="H10" s="15" t="s">
        <v>4</v>
      </c>
      <c r="I10" s="17">
        <f t="shared" ref="I10:I28" si="7">COUNTIF($J$7:$AN$7,"Sun")</f>
        <v>5</v>
      </c>
      <c r="J10" s="18" t="s">
        <v>38</v>
      </c>
      <c r="K10" s="18" t="s">
        <v>38</v>
      </c>
      <c r="L10" s="18" t="str">
        <f t="shared" si="3"/>
        <v>WO</v>
      </c>
      <c r="M10" s="18" t="s">
        <v>38</v>
      </c>
      <c r="N10" s="18" t="s">
        <v>38</v>
      </c>
      <c r="O10" s="18" t="s">
        <v>39</v>
      </c>
      <c r="P10" s="18" t="s">
        <v>38</v>
      </c>
      <c r="Q10" s="18" t="s">
        <v>38</v>
      </c>
      <c r="R10" s="18" t="s">
        <v>38</v>
      </c>
      <c r="S10" s="18" t="str">
        <f t="shared" si="3"/>
        <v>WO</v>
      </c>
      <c r="T10" s="18" t="s">
        <v>38</v>
      </c>
      <c r="U10" s="18" t="s">
        <v>38</v>
      </c>
      <c r="V10" s="18" t="s">
        <v>39</v>
      </c>
      <c r="W10" s="18" t="s">
        <v>38</v>
      </c>
      <c r="X10" s="18" t="s">
        <v>38</v>
      </c>
      <c r="Y10" s="18" t="s">
        <v>38</v>
      </c>
      <c r="Z10" s="18" t="str">
        <f t="shared" si="3"/>
        <v>WO</v>
      </c>
      <c r="AA10" s="18" t="s">
        <v>38</v>
      </c>
      <c r="AB10" s="18" t="s">
        <v>38</v>
      </c>
      <c r="AC10" s="18" t="s">
        <v>39</v>
      </c>
      <c r="AD10" s="18" t="s">
        <v>38</v>
      </c>
      <c r="AE10" s="18" t="s">
        <v>38</v>
      </c>
      <c r="AF10" s="18" t="s">
        <v>38</v>
      </c>
      <c r="AG10" s="18" t="str">
        <f t="shared" si="3"/>
        <v>WO</v>
      </c>
      <c r="AH10" s="18" t="s">
        <v>38</v>
      </c>
      <c r="AI10" s="18" t="s">
        <v>38</v>
      </c>
      <c r="AJ10" s="18" t="s">
        <v>39</v>
      </c>
      <c r="AK10" s="18" t="s">
        <v>38</v>
      </c>
      <c r="AL10" s="18" t="s">
        <v>38</v>
      </c>
      <c r="AM10" s="18" t="s">
        <v>38</v>
      </c>
      <c r="AN10" s="19" t="str">
        <f t="shared" si="3"/>
        <v>WO</v>
      </c>
      <c r="AO10" s="32"/>
      <c r="AP10" s="34"/>
      <c r="AQ10" s="9">
        <v>2</v>
      </c>
      <c r="AR10" s="9">
        <v>1002</v>
      </c>
      <c r="AS10" s="9" t="str">
        <f t="shared" ref="AS10:AS28" si="8">$E$5</f>
        <v>August</v>
      </c>
      <c r="AT10" s="15" t="s">
        <v>4</v>
      </c>
      <c r="AU10" s="28">
        <f t="shared" si="4"/>
        <v>22</v>
      </c>
      <c r="AV10">
        <f t="shared" si="5"/>
        <v>4</v>
      </c>
      <c r="AW10">
        <f t="shared" si="6"/>
        <v>0</v>
      </c>
      <c r="AX10">
        <f t="shared" ref="AX10:AX28" si="9">$I$9</f>
        <v>5</v>
      </c>
      <c r="AY10" s="29">
        <f t="shared" ref="AY10:AY28" si="10">$H$5</f>
        <v>31</v>
      </c>
      <c r="AZ10" s="29">
        <f t="shared" ref="AZ10:AZ28" si="11">AY10-AV10</f>
        <v>27</v>
      </c>
      <c r="BA10" s="30">
        <f t="shared" ref="BA10:BA28" ca="1" si="12">RANDBETWEEN(10000,50000)</f>
        <v>22520</v>
      </c>
      <c r="BB10" s="30">
        <f t="shared" ref="BB10:BB28" ca="1" si="13">BA10/AZ10</f>
        <v>834.07407407407402</v>
      </c>
      <c r="BC10" s="30">
        <f t="shared" ref="BC10:BC28" ca="1" si="14">BB10*AV10</f>
        <v>3336.2962962962961</v>
      </c>
      <c r="BD10" s="30">
        <f t="shared" ref="BD10:BD28" ca="1" si="15">BA10-BC10</f>
        <v>19183.703703703704</v>
      </c>
      <c r="BF10" s="34"/>
      <c r="BG10" s="31"/>
      <c r="BH10" s="31"/>
      <c r="BI10" s="31"/>
      <c r="BJ10" s="31"/>
    </row>
    <row r="11" spans="1:62" x14ac:dyDescent="0.3">
      <c r="C11" s="31"/>
      <c r="D11" s="31"/>
      <c r="E11" s="32"/>
      <c r="F11" s="8">
        <v>3</v>
      </c>
      <c r="G11" s="9">
        <v>1003</v>
      </c>
      <c r="H11" s="15" t="s">
        <v>5</v>
      </c>
      <c r="I11" s="17">
        <f t="shared" si="7"/>
        <v>5</v>
      </c>
      <c r="J11" s="18" t="s">
        <v>39</v>
      </c>
      <c r="K11" s="18" t="s">
        <v>39</v>
      </c>
      <c r="L11" s="18" t="str">
        <f t="shared" si="3"/>
        <v>WO</v>
      </c>
      <c r="M11" s="18" t="s">
        <v>38</v>
      </c>
      <c r="N11" s="18" t="s">
        <v>39</v>
      </c>
      <c r="O11" s="18" t="s">
        <v>38</v>
      </c>
      <c r="P11" s="18" t="s">
        <v>38</v>
      </c>
      <c r="Q11" s="18" t="s">
        <v>39</v>
      </c>
      <c r="R11" s="18" t="s">
        <v>39</v>
      </c>
      <c r="S11" s="18" t="str">
        <f t="shared" si="3"/>
        <v>WO</v>
      </c>
      <c r="T11" s="18" t="s">
        <v>38</v>
      </c>
      <c r="U11" s="18" t="s">
        <v>39</v>
      </c>
      <c r="V11" s="18" t="s">
        <v>38</v>
      </c>
      <c r="W11" s="18" t="s">
        <v>38</v>
      </c>
      <c r="X11" s="18" t="s">
        <v>39</v>
      </c>
      <c r="Y11" s="18" t="s">
        <v>39</v>
      </c>
      <c r="Z11" s="18" t="str">
        <f t="shared" si="3"/>
        <v>WO</v>
      </c>
      <c r="AA11" s="18" t="s">
        <v>38</v>
      </c>
      <c r="AB11" s="18" t="s">
        <v>39</v>
      </c>
      <c r="AC11" s="18" t="s">
        <v>38</v>
      </c>
      <c r="AD11" s="18" t="s">
        <v>38</v>
      </c>
      <c r="AE11" s="18" t="s">
        <v>39</v>
      </c>
      <c r="AF11" s="18" t="s">
        <v>39</v>
      </c>
      <c r="AG11" s="18" t="str">
        <f t="shared" si="3"/>
        <v>WO</v>
      </c>
      <c r="AH11" s="18" t="s">
        <v>38</v>
      </c>
      <c r="AI11" s="18" t="s">
        <v>39</v>
      </c>
      <c r="AJ11" s="18" t="s">
        <v>38</v>
      </c>
      <c r="AK11" s="18" t="s">
        <v>38</v>
      </c>
      <c r="AL11" s="18" t="s">
        <v>39</v>
      </c>
      <c r="AM11" s="18" t="s">
        <v>39</v>
      </c>
      <c r="AN11" s="19" t="str">
        <f t="shared" si="3"/>
        <v>WO</v>
      </c>
      <c r="AO11" s="32"/>
      <c r="AP11" s="34"/>
      <c r="AQ11" s="9">
        <v>3</v>
      </c>
      <c r="AR11" s="9">
        <v>1003</v>
      </c>
      <c r="AS11" s="9" t="str">
        <f t="shared" si="8"/>
        <v>August</v>
      </c>
      <c r="AT11" s="15" t="s">
        <v>5</v>
      </c>
      <c r="AU11" s="28">
        <f t="shared" si="4"/>
        <v>12</v>
      </c>
      <c r="AV11">
        <f t="shared" si="5"/>
        <v>14</v>
      </c>
      <c r="AW11">
        <f t="shared" si="6"/>
        <v>0</v>
      </c>
      <c r="AX11">
        <f t="shared" si="9"/>
        <v>5</v>
      </c>
      <c r="AY11" s="29">
        <f t="shared" si="10"/>
        <v>31</v>
      </c>
      <c r="AZ11" s="29">
        <f t="shared" si="11"/>
        <v>17</v>
      </c>
      <c r="BA11" s="30">
        <f t="shared" ca="1" si="12"/>
        <v>48110</v>
      </c>
      <c r="BB11" s="30">
        <f t="shared" ca="1" si="13"/>
        <v>2830</v>
      </c>
      <c r="BC11" s="30">
        <f t="shared" ca="1" si="14"/>
        <v>39620</v>
      </c>
      <c r="BD11" s="30">
        <f t="shared" ca="1" si="15"/>
        <v>8490</v>
      </c>
      <c r="BF11" s="34"/>
      <c r="BG11" s="31"/>
      <c r="BH11" s="31"/>
      <c r="BI11" s="31"/>
      <c r="BJ11" s="31"/>
    </row>
    <row r="12" spans="1:62" x14ac:dyDescent="0.3">
      <c r="C12" s="31"/>
      <c r="D12" s="31"/>
      <c r="E12" s="32"/>
      <c r="F12" s="8">
        <v>4</v>
      </c>
      <c r="G12" s="9">
        <v>1004</v>
      </c>
      <c r="H12" s="15" t="s">
        <v>6</v>
      </c>
      <c r="I12" s="17">
        <f t="shared" si="7"/>
        <v>5</v>
      </c>
      <c r="J12" s="18" t="s">
        <v>38</v>
      </c>
      <c r="K12" s="18" t="s">
        <v>38</v>
      </c>
      <c r="L12" s="18" t="str">
        <f t="shared" si="3"/>
        <v>WO</v>
      </c>
      <c r="M12" s="18" t="s">
        <v>38</v>
      </c>
      <c r="N12" s="18" t="s">
        <v>39</v>
      </c>
      <c r="O12" s="18" t="s">
        <v>38</v>
      </c>
      <c r="P12" s="18" t="s">
        <v>38</v>
      </c>
      <c r="Q12" s="18" t="s">
        <v>38</v>
      </c>
      <c r="R12" s="18" t="s">
        <v>38</v>
      </c>
      <c r="S12" s="18" t="str">
        <f t="shared" si="3"/>
        <v>WO</v>
      </c>
      <c r="T12" s="18" t="s">
        <v>38</v>
      </c>
      <c r="U12" s="18" t="s">
        <v>39</v>
      </c>
      <c r="V12" s="18" t="s">
        <v>38</v>
      </c>
      <c r="W12" s="18" t="s">
        <v>38</v>
      </c>
      <c r="X12" s="18" t="s">
        <v>38</v>
      </c>
      <c r="Y12" s="18" t="s">
        <v>38</v>
      </c>
      <c r="Z12" s="18" t="str">
        <f t="shared" si="3"/>
        <v>WO</v>
      </c>
      <c r="AA12" s="18" t="s">
        <v>38</v>
      </c>
      <c r="AB12" s="18" t="s">
        <v>39</v>
      </c>
      <c r="AC12" s="18" t="s">
        <v>38</v>
      </c>
      <c r="AD12" s="18" t="s">
        <v>38</v>
      </c>
      <c r="AE12" s="18" t="s">
        <v>38</v>
      </c>
      <c r="AF12" s="18" t="s">
        <v>38</v>
      </c>
      <c r="AG12" s="18" t="str">
        <f t="shared" si="3"/>
        <v>WO</v>
      </c>
      <c r="AH12" s="18" t="s">
        <v>38</v>
      </c>
      <c r="AI12" s="18" t="s">
        <v>39</v>
      </c>
      <c r="AJ12" s="18" t="s">
        <v>38</v>
      </c>
      <c r="AK12" s="18" t="s">
        <v>38</v>
      </c>
      <c r="AL12" s="18" t="s">
        <v>38</v>
      </c>
      <c r="AM12" s="18" t="s">
        <v>38</v>
      </c>
      <c r="AN12" s="19" t="str">
        <f t="shared" si="3"/>
        <v>WO</v>
      </c>
      <c r="AO12" s="32"/>
      <c r="AP12" s="34"/>
      <c r="AQ12" s="9">
        <v>4</v>
      </c>
      <c r="AR12" s="9">
        <v>1004</v>
      </c>
      <c r="AS12" s="9" t="str">
        <f t="shared" si="8"/>
        <v>August</v>
      </c>
      <c r="AT12" s="15" t="s">
        <v>6</v>
      </c>
      <c r="AU12" s="28">
        <f t="shared" si="4"/>
        <v>22</v>
      </c>
      <c r="AV12">
        <f t="shared" si="5"/>
        <v>4</v>
      </c>
      <c r="AW12">
        <f t="shared" si="6"/>
        <v>0</v>
      </c>
      <c r="AX12">
        <f t="shared" si="9"/>
        <v>5</v>
      </c>
      <c r="AY12" s="29">
        <f t="shared" si="10"/>
        <v>31</v>
      </c>
      <c r="AZ12" s="29">
        <f t="shared" si="11"/>
        <v>27</v>
      </c>
      <c r="BA12" s="30">
        <f t="shared" ca="1" si="12"/>
        <v>33997</v>
      </c>
      <c r="BB12" s="30">
        <f t="shared" ca="1" si="13"/>
        <v>1259.148148148148</v>
      </c>
      <c r="BC12" s="30">
        <f t="shared" ca="1" si="14"/>
        <v>5036.5925925925922</v>
      </c>
      <c r="BD12" s="30">
        <f t="shared" ca="1" si="15"/>
        <v>28960.407407407409</v>
      </c>
      <c r="BF12" s="34"/>
      <c r="BG12" s="31"/>
      <c r="BH12" s="31"/>
      <c r="BI12" s="31"/>
      <c r="BJ12" s="31"/>
    </row>
    <row r="13" spans="1:62" x14ac:dyDescent="0.3">
      <c r="C13" s="31"/>
      <c r="D13" s="31"/>
      <c r="E13" s="32"/>
      <c r="F13" s="8">
        <v>5</v>
      </c>
      <c r="G13" s="9">
        <v>1005</v>
      </c>
      <c r="H13" s="15" t="s">
        <v>7</v>
      </c>
      <c r="I13" s="17">
        <f t="shared" si="7"/>
        <v>5</v>
      </c>
      <c r="J13" s="18" t="s">
        <v>39</v>
      </c>
      <c r="K13" s="18" t="s">
        <v>39</v>
      </c>
      <c r="L13" s="18" t="str">
        <f t="shared" si="3"/>
        <v>WO</v>
      </c>
      <c r="M13" s="18" t="s">
        <v>38</v>
      </c>
      <c r="N13" s="18" t="s">
        <v>38</v>
      </c>
      <c r="O13" s="18" t="s">
        <v>39</v>
      </c>
      <c r="P13" s="18" t="s">
        <v>38</v>
      </c>
      <c r="Q13" s="18" t="s">
        <v>39</v>
      </c>
      <c r="R13" s="18" t="s">
        <v>39</v>
      </c>
      <c r="S13" s="18" t="str">
        <f t="shared" si="3"/>
        <v>WO</v>
      </c>
      <c r="T13" s="18" t="s">
        <v>38</v>
      </c>
      <c r="U13" s="18" t="s">
        <v>38</v>
      </c>
      <c r="V13" s="18" t="s">
        <v>39</v>
      </c>
      <c r="W13" s="18" t="s">
        <v>38</v>
      </c>
      <c r="X13" s="18" t="s">
        <v>39</v>
      </c>
      <c r="Y13" s="18" t="s">
        <v>39</v>
      </c>
      <c r="Z13" s="18" t="str">
        <f t="shared" si="3"/>
        <v>WO</v>
      </c>
      <c r="AA13" s="18" t="s">
        <v>38</v>
      </c>
      <c r="AB13" s="18" t="s">
        <v>38</v>
      </c>
      <c r="AC13" s="18" t="s">
        <v>39</v>
      </c>
      <c r="AD13" s="18" t="s">
        <v>38</v>
      </c>
      <c r="AE13" s="18" t="s">
        <v>39</v>
      </c>
      <c r="AF13" s="18" t="s">
        <v>39</v>
      </c>
      <c r="AG13" s="18" t="str">
        <f t="shared" si="3"/>
        <v>WO</v>
      </c>
      <c r="AH13" s="18" t="s">
        <v>38</v>
      </c>
      <c r="AI13" s="18" t="s">
        <v>38</v>
      </c>
      <c r="AJ13" s="18" t="s">
        <v>39</v>
      </c>
      <c r="AK13" s="18" t="s">
        <v>38</v>
      </c>
      <c r="AL13" s="18" t="s">
        <v>39</v>
      </c>
      <c r="AM13" s="18" t="s">
        <v>39</v>
      </c>
      <c r="AN13" s="19" t="str">
        <f t="shared" si="3"/>
        <v>WO</v>
      </c>
      <c r="AO13" s="32"/>
      <c r="AP13" s="34"/>
      <c r="AQ13" s="9">
        <v>5</v>
      </c>
      <c r="AR13" s="9">
        <v>1005</v>
      </c>
      <c r="AS13" s="9" t="str">
        <f t="shared" si="8"/>
        <v>August</v>
      </c>
      <c r="AT13" s="15" t="s">
        <v>7</v>
      </c>
      <c r="AU13" s="28">
        <f t="shared" si="4"/>
        <v>12</v>
      </c>
      <c r="AV13">
        <f t="shared" si="5"/>
        <v>14</v>
      </c>
      <c r="AW13">
        <f t="shared" si="6"/>
        <v>0</v>
      </c>
      <c r="AX13">
        <f t="shared" si="9"/>
        <v>5</v>
      </c>
      <c r="AY13" s="29">
        <f t="shared" si="10"/>
        <v>31</v>
      </c>
      <c r="AZ13" s="29">
        <f t="shared" si="11"/>
        <v>17</v>
      </c>
      <c r="BA13" s="30">
        <f t="shared" ca="1" si="12"/>
        <v>35335</v>
      </c>
      <c r="BB13" s="30">
        <f t="shared" ca="1" si="13"/>
        <v>2078.5294117647059</v>
      </c>
      <c r="BC13" s="30">
        <f t="shared" ca="1" si="14"/>
        <v>29099.411764705881</v>
      </c>
      <c r="BD13" s="30">
        <f t="shared" ca="1" si="15"/>
        <v>6235.5882352941189</v>
      </c>
      <c r="BF13" s="34"/>
      <c r="BG13" s="31"/>
      <c r="BH13" s="31"/>
      <c r="BI13" s="31"/>
      <c r="BJ13" s="31"/>
    </row>
    <row r="14" spans="1:62" x14ac:dyDescent="0.3">
      <c r="C14" s="31"/>
      <c r="D14" s="31"/>
      <c r="E14" s="32"/>
      <c r="F14" s="8">
        <v>6</v>
      </c>
      <c r="G14" s="9">
        <v>1006</v>
      </c>
      <c r="H14" s="15" t="s">
        <v>8</v>
      </c>
      <c r="I14" s="17">
        <f t="shared" si="7"/>
        <v>5</v>
      </c>
      <c r="J14" s="18" t="s">
        <v>38</v>
      </c>
      <c r="K14" s="18" t="s">
        <v>38</v>
      </c>
      <c r="L14" s="18" t="str">
        <f t="shared" si="3"/>
        <v>WO</v>
      </c>
      <c r="M14" s="18" t="s">
        <v>38</v>
      </c>
      <c r="N14" s="18" t="s">
        <v>38</v>
      </c>
      <c r="O14" s="18" t="s">
        <v>39</v>
      </c>
      <c r="P14" s="18" t="s">
        <v>38</v>
      </c>
      <c r="Q14" s="18" t="s">
        <v>38</v>
      </c>
      <c r="R14" s="18" t="s">
        <v>38</v>
      </c>
      <c r="S14" s="18" t="str">
        <f t="shared" si="3"/>
        <v>WO</v>
      </c>
      <c r="T14" s="18" t="s">
        <v>38</v>
      </c>
      <c r="U14" s="18" t="s">
        <v>38</v>
      </c>
      <c r="V14" s="18" t="s">
        <v>39</v>
      </c>
      <c r="W14" s="18" t="s">
        <v>38</v>
      </c>
      <c r="X14" s="18" t="s">
        <v>38</v>
      </c>
      <c r="Y14" s="18" t="s">
        <v>38</v>
      </c>
      <c r="Z14" s="18" t="str">
        <f t="shared" si="3"/>
        <v>WO</v>
      </c>
      <c r="AA14" s="18" t="s">
        <v>38</v>
      </c>
      <c r="AB14" s="18" t="s">
        <v>38</v>
      </c>
      <c r="AC14" s="18" t="s">
        <v>39</v>
      </c>
      <c r="AD14" s="18" t="s">
        <v>38</v>
      </c>
      <c r="AE14" s="18" t="s">
        <v>38</v>
      </c>
      <c r="AF14" s="18" t="s">
        <v>38</v>
      </c>
      <c r="AG14" s="18" t="str">
        <f t="shared" si="3"/>
        <v>WO</v>
      </c>
      <c r="AH14" s="18" t="s">
        <v>38</v>
      </c>
      <c r="AI14" s="18" t="s">
        <v>38</v>
      </c>
      <c r="AJ14" s="18" t="s">
        <v>39</v>
      </c>
      <c r="AK14" s="18" t="s">
        <v>38</v>
      </c>
      <c r="AL14" s="18" t="s">
        <v>38</v>
      </c>
      <c r="AM14" s="18" t="s">
        <v>38</v>
      </c>
      <c r="AN14" s="19" t="str">
        <f t="shared" si="3"/>
        <v>WO</v>
      </c>
      <c r="AO14" s="32"/>
      <c r="AP14" s="34"/>
      <c r="AQ14" s="9">
        <v>6</v>
      </c>
      <c r="AR14" s="9">
        <v>1006</v>
      </c>
      <c r="AS14" s="9" t="str">
        <f t="shared" si="8"/>
        <v>August</v>
      </c>
      <c r="AT14" s="15" t="s">
        <v>8</v>
      </c>
      <c r="AU14" s="28">
        <f t="shared" si="4"/>
        <v>22</v>
      </c>
      <c r="AV14">
        <f t="shared" si="5"/>
        <v>4</v>
      </c>
      <c r="AW14">
        <f t="shared" si="6"/>
        <v>0</v>
      </c>
      <c r="AX14">
        <f t="shared" si="9"/>
        <v>5</v>
      </c>
      <c r="AY14" s="29">
        <f t="shared" si="10"/>
        <v>31</v>
      </c>
      <c r="AZ14" s="29">
        <f t="shared" si="11"/>
        <v>27</v>
      </c>
      <c r="BA14" s="30">
        <f t="shared" ca="1" si="12"/>
        <v>17055</v>
      </c>
      <c r="BB14" s="30">
        <f t="shared" ca="1" si="13"/>
        <v>631.66666666666663</v>
      </c>
      <c r="BC14" s="30">
        <f t="shared" ca="1" si="14"/>
        <v>2526.6666666666665</v>
      </c>
      <c r="BD14" s="30">
        <f t="shared" ca="1" si="15"/>
        <v>14528.333333333334</v>
      </c>
      <c r="BF14" s="34"/>
      <c r="BG14" s="31"/>
      <c r="BH14" s="31"/>
      <c r="BI14" s="31"/>
      <c r="BJ14" s="31"/>
    </row>
    <row r="15" spans="1:62" x14ac:dyDescent="0.3">
      <c r="C15" s="31"/>
      <c r="D15" s="31"/>
      <c r="E15" s="32"/>
      <c r="F15" s="8">
        <v>7</v>
      </c>
      <c r="G15" s="9">
        <v>1007</v>
      </c>
      <c r="H15" s="15" t="s">
        <v>9</v>
      </c>
      <c r="I15" s="17">
        <f t="shared" si="7"/>
        <v>5</v>
      </c>
      <c r="J15" s="18" t="s">
        <v>38</v>
      </c>
      <c r="K15" s="18" t="s">
        <v>38</v>
      </c>
      <c r="L15" s="18" t="str">
        <f t="shared" si="3"/>
        <v>WO</v>
      </c>
      <c r="M15" s="18" t="s">
        <v>38</v>
      </c>
      <c r="N15" s="18" t="s">
        <v>38</v>
      </c>
      <c r="O15" s="18" t="s">
        <v>38</v>
      </c>
      <c r="P15" s="18" t="s">
        <v>38</v>
      </c>
      <c r="Q15" s="18" t="s">
        <v>38</v>
      </c>
      <c r="R15" s="18" t="s">
        <v>38</v>
      </c>
      <c r="S15" s="18" t="str">
        <f t="shared" si="3"/>
        <v>WO</v>
      </c>
      <c r="T15" s="18" t="s">
        <v>38</v>
      </c>
      <c r="U15" s="18" t="s">
        <v>38</v>
      </c>
      <c r="V15" s="18" t="s">
        <v>38</v>
      </c>
      <c r="W15" s="18" t="s">
        <v>38</v>
      </c>
      <c r="X15" s="18" t="s">
        <v>38</v>
      </c>
      <c r="Y15" s="18" t="s">
        <v>38</v>
      </c>
      <c r="Z15" s="18" t="str">
        <f t="shared" si="3"/>
        <v>WO</v>
      </c>
      <c r="AA15" s="18" t="s">
        <v>38</v>
      </c>
      <c r="AB15" s="18" t="s">
        <v>38</v>
      </c>
      <c r="AC15" s="18" t="s">
        <v>38</v>
      </c>
      <c r="AD15" s="18" t="s">
        <v>38</v>
      </c>
      <c r="AE15" s="18" t="s">
        <v>38</v>
      </c>
      <c r="AF15" s="18" t="s">
        <v>38</v>
      </c>
      <c r="AG15" s="18" t="str">
        <f t="shared" si="3"/>
        <v>WO</v>
      </c>
      <c r="AH15" s="18" t="s">
        <v>38</v>
      </c>
      <c r="AI15" s="18" t="s">
        <v>38</v>
      </c>
      <c r="AJ15" s="18" t="s">
        <v>38</v>
      </c>
      <c r="AK15" s="18" t="s">
        <v>38</v>
      </c>
      <c r="AL15" s="18" t="s">
        <v>38</v>
      </c>
      <c r="AM15" s="18" t="s">
        <v>38</v>
      </c>
      <c r="AN15" s="19" t="str">
        <f t="shared" si="3"/>
        <v>WO</v>
      </c>
      <c r="AO15" s="32"/>
      <c r="AP15" s="34"/>
      <c r="AQ15" s="9">
        <v>7</v>
      </c>
      <c r="AR15" s="9">
        <v>1007</v>
      </c>
      <c r="AS15" s="9" t="str">
        <f t="shared" si="8"/>
        <v>August</v>
      </c>
      <c r="AT15" s="15" t="s">
        <v>9</v>
      </c>
      <c r="AU15" s="28">
        <f t="shared" si="4"/>
        <v>26</v>
      </c>
      <c r="AV15">
        <f t="shared" si="5"/>
        <v>0</v>
      </c>
      <c r="AW15">
        <f t="shared" si="6"/>
        <v>0</v>
      </c>
      <c r="AX15">
        <f t="shared" si="9"/>
        <v>5</v>
      </c>
      <c r="AY15" s="29">
        <f t="shared" si="10"/>
        <v>31</v>
      </c>
      <c r="AZ15" s="29">
        <f t="shared" si="11"/>
        <v>31</v>
      </c>
      <c r="BA15" s="30">
        <f t="shared" ca="1" si="12"/>
        <v>35260</v>
      </c>
      <c r="BB15" s="30">
        <f t="shared" ca="1" si="13"/>
        <v>1137.4193548387098</v>
      </c>
      <c r="BC15" s="30">
        <f t="shared" ca="1" si="14"/>
        <v>0</v>
      </c>
      <c r="BD15" s="30">
        <f t="shared" ca="1" si="15"/>
        <v>35260</v>
      </c>
      <c r="BF15" s="34"/>
      <c r="BG15" s="31"/>
      <c r="BH15" s="31"/>
      <c r="BI15" s="31"/>
      <c r="BJ15" s="31"/>
    </row>
    <row r="16" spans="1:62" x14ac:dyDescent="0.3">
      <c r="C16" s="31"/>
      <c r="D16" s="31"/>
      <c r="E16" s="32"/>
      <c r="F16" s="8">
        <v>8</v>
      </c>
      <c r="G16" s="9">
        <v>1008</v>
      </c>
      <c r="H16" s="15" t="s">
        <v>10</v>
      </c>
      <c r="I16" s="17">
        <f t="shared" si="7"/>
        <v>5</v>
      </c>
      <c r="J16" s="18" t="s">
        <v>39</v>
      </c>
      <c r="K16" s="18" t="s">
        <v>39</v>
      </c>
      <c r="L16" s="18" t="str">
        <f t="shared" si="3"/>
        <v>WO</v>
      </c>
      <c r="M16" s="18" t="s">
        <v>38</v>
      </c>
      <c r="N16" s="18" t="s">
        <v>39</v>
      </c>
      <c r="O16" s="18" t="s">
        <v>38</v>
      </c>
      <c r="P16" s="18" t="s">
        <v>38</v>
      </c>
      <c r="Q16" s="18" t="s">
        <v>39</v>
      </c>
      <c r="R16" s="18" t="s">
        <v>39</v>
      </c>
      <c r="S16" s="18" t="str">
        <f t="shared" si="3"/>
        <v>WO</v>
      </c>
      <c r="T16" s="18" t="s">
        <v>38</v>
      </c>
      <c r="U16" s="18" t="s">
        <v>39</v>
      </c>
      <c r="V16" s="18" t="s">
        <v>38</v>
      </c>
      <c r="W16" s="18" t="s">
        <v>38</v>
      </c>
      <c r="X16" s="18" t="s">
        <v>39</v>
      </c>
      <c r="Y16" s="18" t="s">
        <v>39</v>
      </c>
      <c r="Z16" s="18" t="str">
        <f t="shared" si="3"/>
        <v>WO</v>
      </c>
      <c r="AA16" s="18" t="s">
        <v>38</v>
      </c>
      <c r="AB16" s="18" t="s">
        <v>39</v>
      </c>
      <c r="AC16" s="18" t="s">
        <v>38</v>
      </c>
      <c r="AD16" s="18" t="s">
        <v>38</v>
      </c>
      <c r="AE16" s="18" t="s">
        <v>39</v>
      </c>
      <c r="AF16" s="18" t="s">
        <v>39</v>
      </c>
      <c r="AG16" s="18" t="str">
        <f t="shared" si="3"/>
        <v>WO</v>
      </c>
      <c r="AH16" s="18" t="s">
        <v>38</v>
      </c>
      <c r="AI16" s="18" t="s">
        <v>39</v>
      </c>
      <c r="AJ16" s="18" t="s">
        <v>38</v>
      </c>
      <c r="AK16" s="18" t="s">
        <v>38</v>
      </c>
      <c r="AL16" s="18" t="s">
        <v>39</v>
      </c>
      <c r="AM16" s="18" t="s">
        <v>39</v>
      </c>
      <c r="AN16" s="19" t="str">
        <f t="shared" si="3"/>
        <v>WO</v>
      </c>
      <c r="AO16" s="32"/>
      <c r="AP16" s="34"/>
      <c r="AQ16" s="9">
        <v>8</v>
      </c>
      <c r="AR16" s="9">
        <v>1008</v>
      </c>
      <c r="AS16" s="9" t="str">
        <f t="shared" si="8"/>
        <v>August</v>
      </c>
      <c r="AT16" s="15" t="s">
        <v>10</v>
      </c>
      <c r="AU16" s="28">
        <f t="shared" si="4"/>
        <v>12</v>
      </c>
      <c r="AV16">
        <f t="shared" si="5"/>
        <v>14</v>
      </c>
      <c r="AW16">
        <f t="shared" si="6"/>
        <v>0</v>
      </c>
      <c r="AX16">
        <f t="shared" si="9"/>
        <v>5</v>
      </c>
      <c r="AY16" s="29">
        <f t="shared" si="10"/>
        <v>31</v>
      </c>
      <c r="AZ16" s="29">
        <f t="shared" si="11"/>
        <v>17</v>
      </c>
      <c r="BA16" s="30">
        <f t="shared" ca="1" si="12"/>
        <v>21149</v>
      </c>
      <c r="BB16" s="30">
        <f t="shared" ca="1" si="13"/>
        <v>1244.0588235294117</v>
      </c>
      <c r="BC16" s="30">
        <f t="shared" ca="1" si="14"/>
        <v>17416.823529411762</v>
      </c>
      <c r="BD16" s="30">
        <f t="shared" ca="1" si="15"/>
        <v>3732.1764705882379</v>
      </c>
      <c r="BF16" s="34"/>
      <c r="BG16" s="31"/>
      <c r="BH16" s="31"/>
      <c r="BI16" s="31"/>
      <c r="BJ16" s="31"/>
    </row>
    <row r="17" spans="1:62" x14ac:dyDescent="0.3">
      <c r="C17" s="31"/>
      <c r="D17" s="31"/>
      <c r="E17" s="32"/>
      <c r="F17" s="8">
        <v>9</v>
      </c>
      <c r="G17" s="9">
        <v>1009</v>
      </c>
      <c r="H17" s="15" t="s">
        <v>11</v>
      </c>
      <c r="I17" s="17">
        <f t="shared" si="7"/>
        <v>5</v>
      </c>
      <c r="J17" s="18" t="s">
        <v>38</v>
      </c>
      <c r="K17" s="18" t="s">
        <v>38</v>
      </c>
      <c r="L17" s="18" t="str">
        <f t="shared" si="3"/>
        <v>WO</v>
      </c>
      <c r="M17" s="18" t="s">
        <v>38</v>
      </c>
      <c r="N17" s="18" t="s">
        <v>38</v>
      </c>
      <c r="O17" s="18" t="s">
        <v>38</v>
      </c>
      <c r="P17" s="18" t="s">
        <v>38</v>
      </c>
      <c r="Q17" s="18" t="s">
        <v>38</v>
      </c>
      <c r="R17" s="18" t="s">
        <v>38</v>
      </c>
      <c r="S17" s="18" t="str">
        <f t="shared" si="3"/>
        <v>WO</v>
      </c>
      <c r="T17" s="18" t="s">
        <v>38</v>
      </c>
      <c r="U17" s="18" t="s">
        <v>38</v>
      </c>
      <c r="V17" s="18" t="s">
        <v>38</v>
      </c>
      <c r="W17" s="18" t="s">
        <v>38</v>
      </c>
      <c r="X17" s="18" t="s">
        <v>38</v>
      </c>
      <c r="Y17" s="18" t="s">
        <v>38</v>
      </c>
      <c r="Z17" s="18" t="str">
        <f t="shared" ref="Z17:AN28" si="16">IF(Z$7="Sun","WO","")</f>
        <v>WO</v>
      </c>
      <c r="AA17" s="18" t="s">
        <v>38</v>
      </c>
      <c r="AB17" s="18" t="s">
        <v>38</v>
      </c>
      <c r="AC17" s="18" t="s">
        <v>38</v>
      </c>
      <c r="AD17" s="18" t="s">
        <v>38</v>
      </c>
      <c r="AE17" s="18" t="s">
        <v>38</v>
      </c>
      <c r="AF17" s="18" t="s">
        <v>38</v>
      </c>
      <c r="AG17" s="18" t="str">
        <f t="shared" si="16"/>
        <v>WO</v>
      </c>
      <c r="AH17" s="18" t="s">
        <v>38</v>
      </c>
      <c r="AI17" s="18" t="s">
        <v>38</v>
      </c>
      <c r="AJ17" s="18" t="s">
        <v>38</v>
      </c>
      <c r="AK17" s="18" t="s">
        <v>38</v>
      </c>
      <c r="AL17" s="18" t="s">
        <v>38</v>
      </c>
      <c r="AM17" s="18" t="s">
        <v>38</v>
      </c>
      <c r="AN17" s="19" t="str">
        <f t="shared" si="16"/>
        <v>WO</v>
      </c>
      <c r="AO17" s="32"/>
      <c r="AP17" s="34"/>
      <c r="AQ17" s="9">
        <v>9</v>
      </c>
      <c r="AR17" s="9">
        <v>1009</v>
      </c>
      <c r="AS17" s="9" t="str">
        <f t="shared" si="8"/>
        <v>August</v>
      </c>
      <c r="AT17" s="15" t="s">
        <v>11</v>
      </c>
      <c r="AU17" s="28">
        <f t="shared" si="4"/>
        <v>26</v>
      </c>
      <c r="AV17">
        <f t="shared" si="5"/>
        <v>0</v>
      </c>
      <c r="AW17">
        <f t="shared" si="6"/>
        <v>0</v>
      </c>
      <c r="AX17">
        <f t="shared" si="9"/>
        <v>5</v>
      </c>
      <c r="AY17" s="29">
        <f t="shared" si="10"/>
        <v>31</v>
      </c>
      <c r="AZ17" s="29">
        <f t="shared" si="11"/>
        <v>31</v>
      </c>
      <c r="BA17" s="30">
        <f t="shared" ca="1" si="12"/>
        <v>41369</v>
      </c>
      <c r="BB17" s="30">
        <f t="shared" ca="1" si="13"/>
        <v>1334.483870967742</v>
      </c>
      <c r="BC17" s="30">
        <f t="shared" ca="1" si="14"/>
        <v>0</v>
      </c>
      <c r="BD17" s="30">
        <f t="shared" ca="1" si="15"/>
        <v>41369</v>
      </c>
      <c r="BF17" s="34"/>
      <c r="BG17" s="31"/>
      <c r="BH17" s="31"/>
      <c r="BI17" s="31"/>
      <c r="BJ17" s="31"/>
    </row>
    <row r="18" spans="1:62" x14ac:dyDescent="0.3">
      <c r="C18" s="31"/>
      <c r="D18" s="31"/>
      <c r="E18" s="32"/>
      <c r="F18" s="8">
        <v>10</v>
      </c>
      <c r="G18" s="9">
        <v>1010</v>
      </c>
      <c r="H18" s="15" t="s">
        <v>12</v>
      </c>
      <c r="I18" s="17">
        <f t="shared" si="7"/>
        <v>5</v>
      </c>
      <c r="J18" s="18" t="s">
        <v>38</v>
      </c>
      <c r="K18" s="18" t="s">
        <v>38</v>
      </c>
      <c r="L18" s="18" t="str">
        <f t="shared" ref="L18:S28" si="17">IF(L$7="Sun","WO","")</f>
        <v>WO</v>
      </c>
      <c r="M18" s="18" t="s">
        <v>38</v>
      </c>
      <c r="N18" s="18" t="s">
        <v>38</v>
      </c>
      <c r="O18" s="18" t="s">
        <v>39</v>
      </c>
      <c r="P18" s="18" t="s">
        <v>38</v>
      </c>
      <c r="Q18" s="18" t="s">
        <v>38</v>
      </c>
      <c r="R18" s="18" t="s">
        <v>38</v>
      </c>
      <c r="S18" s="18" t="str">
        <f t="shared" si="17"/>
        <v>WO</v>
      </c>
      <c r="T18" s="18" t="s">
        <v>38</v>
      </c>
      <c r="U18" s="18" t="s">
        <v>38</v>
      </c>
      <c r="V18" s="18" t="s">
        <v>39</v>
      </c>
      <c r="W18" s="18" t="s">
        <v>38</v>
      </c>
      <c r="X18" s="18" t="s">
        <v>38</v>
      </c>
      <c r="Y18" s="18" t="s">
        <v>38</v>
      </c>
      <c r="Z18" s="18" t="str">
        <f t="shared" si="16"/>
        <v>WO</v>
      </c>
      <c r="AA18" s="18" t="s">
        <v>38</v>
      </c>
      <c r="AB18" s="18" t="s">
        <v>38</v>
      </c>
      <c r="AC18" s="18" t="s">
        <v>39</v>
      </c>
      <c r="AD18" s="18" t="s">
        <v>38</v>
      </c>
      <c r="AE18" s="18" t="s">
        <v>38</v>
      </c>
      <c r="AF18" s="18" t="s">
        <v>38</v>
      </c>
      <c r="AG18" s="18" t="str">
        <f t="shared" si="16"/>
        <v>WO</v>
      </c>
      <c r="AH18" s="18" t="s">
        <v>38</v>
      </c>
      <c r="AI18" s="18" t="s">
        <v>38</v>
      </c>
      <c r="AJ18" s="18" t="s">
        <v>39</v>
      </c>
      <c r="AK18" s="18" t="s">
        <v>38</v>
      </c>
      <c r="AL18" s="18" t="s">
        <v>38</v>
      </c>
      <c r="AM18" s="18" t="s">
        <v>38</v>
      </c>
      <c r="AN18" s="19" t="str">
        <f t="shared" si="16"/>
        <v>WO</v>
      </c>
      <c r="AO18" s="32"/>
      <c r="AP18" s="34"/>
      <c r="AQ18" s="9">
        <v>10</v>
      </c>
      <c r="AR18" s="9">
        <v>1010</v>
      </c>
      <c r="AS18" s="9" t="str">
        <f t="shared" si="8"/>
        <v>August</v>
      </c>
      <c r="AT18" s="15" t="s">
        <v>12</v>
      </c>
      <c r="AU18" s="28">
        <f t="shared" si="4"/>
        <v>22</v>
      </c>
      <c r="AV18">
        <f t="shared" si="5"/>
        <v>4</v>
      </c>
      <c r="AW18">
        <f t="shared" si="6"/>
        <v>0</v>
      </c>
      <c r="AX18">
        <f t="shared" si="9"/>
        <v>5</v>
      </c>
      <c r="AY18" s="29">
        <f t="shared" si="10"/>
        <v>31</v>
      </c>
      <c r="AZ18" s="29">
        <f t="shared" si="11"/>
        <v>27</v>
      </c>
      <c r="BA18" s="30">
        <f t="shared" ca="1" si="12"/>
        <v>11175</v>
      </c>
      <c r="BB18" s="30">
        <f t="shared" ca="1" si="13"/>
        <v>413.88888888888891</v>
      </c>
      <c r="BC18" s="30">
        <f t="shared" ca="1" si="14"/>
        <v>1655.5555555555557</v>
      </c>
      <c r="BD18" s="30">
        <f t="shared" ca="1" si="15"/>
        <v>9519.4444444444453</v>
      </c>
      <c r="BF18" s="34"/>
      <c r="BG18" s="31"/>
      <c r="BH18" s="31"/>
      <c r="BI18" s="31"/>
      <c r="BJ18" s="31"/>
    </row>
    <row r="19" spans="1:62" x14ac:dyDescent="0.3">
      <c r="C19" s="31"/>
      <c r="D19" s="31"/>
      <c r="E19" s="32"/>
      <c r="F19" s="8">
        <v>11</v>
      </c>
      <c r="G19" s="9">
        <v>1011</v>
      </c>
      <c r="H19" s="15" t="s">
        <v>13</v>
      </c>
      <c r="I19" s="17">
        <f t="shared" si="7"/>
        <v>5</v>
      </c>
      <c r="J19" s="18" t="s">
        <v>38</v>
      </c>
      <c r="K19" s="18" t="s">
        <v>38</v>
      </c>
      <c r="L19" s="18" t="str">
        <f t="shared" si="17"/>
        <v>WO</v>
      </c>
      <c r="M19" s="18" t="s">
        <v>38</v>
      </c>
      <c r="N19" s="18" t="s">
        <v>38</v>
      </c>
      <c r="O19" s="18" t="s">
        <v>38</v>
      </c>
      <c r="P19" s="18" t="s">
        <v>38</v>
      </c>
      <c r="Q19" s="18" t="s">
        <v>38</v>
      </c>
      <c r="R19" s="18" t="s">
        <v>38</v>
      </c>
      <c r="S19" s="18" t="str">
        <f t="shared" si="17"/>
        <v>WO</v>
      </c>
      <c r="T19" s="18" t="s">
        <v>38</v>
      </c>
      <c r="U19" s="18" t="s">
        <v>38</v>
      </c>
      <c r="V19" s="18" t="s">
        <v>38</v>
      </c>
      <c r="W19" s="18" t="s">
        <v>38</v>
      </c>
      <c r="X19" s="18" t="s">
        <v>38</v>
      </c>
      <c r="Y19" s="18" t="s">
        <v>38</v>
      </c>
      <c r="Z19" s="18" t="str">
        <f t="shared" si="16"/>
        <v>WO</v>
      </c>
      <c r="AA19" s="18" t="s">
        <v>38</v>
      </c>
      <c r="AB19" s="18" t="s">
        <v>38</v>
      </c>
      <c r="AC19" s="18" t="s">
        <v>38</v>
      </c>
      <c r="AD19" s="18" t="s">
        <v>38</v>
      </c>
      <c r="AE19" s="18" t="s">
        <v>38</v>
      </c>
      <c r="AF19" s="18" t="s">
        <v>38</v>
      </c>
      <c r="AG19" s="18" t="str">
        <f t="shared" si="16"/>
        <v>WO</v>
      </c>
      <c r="AH19" s="18" t="s">
        <v>38</v>
      </c>
      <c r="AI19" s="18" t="s">
        <v>38</v>
      </c>
      <c r="AJ19" s="18" t="s">
        <v>38</v>
      </c>
      <c r="AK19" s="18" t="s">
        <v>38</v>
      </c>
      <c r="AL19" s="18" t="s">
        <v>38</v>
      </c>
      <c r="AM19" s="18" t="s">
        <v>38</v>
      </c>
      <c r="AN19" s="19" t="str">
        <f t="shared" si="16"/>
        <v>WO</v>
      </c>
      <c r="AO19" s="32"/>
      <c r="AP19" s="34"/>
      <c r="AQ19" s="9">
        <v>11</v>
      </c>
      <c r="AR19" s="9">
        <v>1011</v>
      </c>
      <c r="AS19" s="9" t="str">
        <f t="shared" si="8"/>
        <v>August</v>
      </c>
      <c r="AT19" s="15" t="s">
        <v>13</v>
      </c>
      <c r="AU19" s="28">
        <f t="shared" si="4"/>
        <v>26</v>
      </c>
      <c r="AV19">
        <f t="shared" si="5"/>
        <v>0</v>
      </c>
      <c r="AW19">
        <f t="shared" si="6"/>
        <v>0</v>
      </c>
      <c r="AX19">
        <f t="shared" si="9"/>
        <v>5</v>
      </c>
      <c r="AY19" s="29">
        <f t="shared" si="10"/>
        <v>31</v>
      </c>
      <c r="AZ19" s="29">
        <f t="shared" si="11"/>
        <v>31</v>
      </c>
      <c r="BA19" s="30">
        <f t="shared" ca="1" si="12"/>
        <v>32204</v>
      </c>
      <c r="BB19" s="30">
        <f t="shared" ca="1" si="13"/>
        <v>1038.8387096774193</v>
      </c>
      <c r="BC19" s="30">
        <f t="shared" ca="1" si="14"/>
        <v>0</v>
      </c>
      <c r="BD19" s="30">
        <f t="shared" ca="1" si="15"/>
        <v>32204</v>
      </c>
      <c r="BF19" s="34"/>
      <c r="BG19" s="31"/>
      <c r="BH19" s="31"/>
      <c r="BI19" s="31"/>
      <c r="BJ19" s="31"/>
    </row>
    <row r="20" spans="1:62" x14ac:dyDescent="0.3">
      <c r="C20" s="31"/>
      <c r="D20" s="31"/>
      <c r="E20" s="32"/>
      <c r="F20" s="8">
        <v>12</v>
      </c>
      <c r="G20" s="9">
        <v>1012</v>
      </c>
      <c r="H20" s="15" t="s">
        <v>14</v>
      </c>
      <c r="I20" s="17">
        <f t="shared" si="7"/>
        <v>5</v>
      </c>
      <c r="J20" s="18" t="s">
        <v>38</v>
      </c>
      <c r="K20" s="18" t="s">
        <v>38</v>
      </c>
      <c r="L20" s="18" t="str">
        <f t="shared" si="17"/>
        <v>WO</v>
      </c>
      <c r="M20" s="18" t="s">
        <v>38</v>
      </c>
      <c r="N20" s="18" t="s">
        <v>38</v>
      </c>
      <c r="O20" s="18" t="s">
        <v>38</v>
      </c>
      <c r="P20" s="18" t="s">
        <v>38</v>
      </c>
      <c r="Q20" s="18" t="s">
        <v>38</v>
      </c>
      <c r="R20" s="18" t="s">
        <v>38</v>
      </c>
      <c r="S20" s="18" t="str">
        <f t="shared" si="17"/>
        <v>WO</v>
      </c>
      <c r="T20" s="18" t="s">
        <v>38</v>
      </c>
      <c r="U20" s="18" t="s">
        <v>38</v>
      </c>
      <c r="V20" s="18" t="s">
        <v>38</v>
      </c>
      <c r="W20" s="18" t="s">
        <v>38</v>
      </c>
      <c r="X20" s="18" t="s">
        <v>38</v>
      </c>
      <c r="Y20" s="18" t="s">
        <v>38</v>
      </c>
      <c r="Z20" s="18" t="str">
        <f t="shared" si="16"/>
        <v>WO</v>
      </c>
      <c r="AA20" s="18" t="s">
        <v>38</v>
      </c>
      <c r="AB20" s="18" t="s">
        <v>38</v>
      </c>
      <c r="AC20" s="18" t="s">
        <v>38</v>
      </c>
      <c r="AD20" s="18" t="s">
        <v>38</v>
      </c>
      <c r="AE20" s="18" t="s">
        <v>38</v>
      </c>
      <c r="AF20" s="18" t="s">
        <v>38</v>
      </c>
      <c r="AG20" s="18" t="str">
        <f t="shared" si="16"/>
        <v>WO</v>
      </c>
      <c r="AH20" s="18" t="s">
        <v>38</v>
      </c>
      <c r="AI20" s="18" t="s">
        <v>38</v>
      </c>
      <c r="AJ20" s="18" t="s">
        <v>38</v>
      </c>
      <c r="AK20" s="18" t="s">
        <v>38</v>
      </c>
      <c r="AL20" s="18" t="s">
        <v>38</v>
      </c>
      <c r="AM20" s="18" t="s">
        <v>38</v>
      </c>
      <c r="AN20" s="19" t="str">
        <f t="shared" si="16"/>
        <v>WO</v>
      </c>
      <c r="AO20" s="32"/>
      <c r="AP20" s="34"/>
      <c r="AQ20" s="9">
        <v>12</v>
      </c>
      <c r="AR20" s="9">
        <v>1012</v>
      </c>
      <c r="AS20" s="9" t="str">
        <f t="shared" si="8"/>
        <v>August</v>
      </c>
      <c r="AT20" s="15" t="s">
        <v>14</v>
      </c>
      <c r="AU20" s="28">
        <f t="shared" si="4"/>
        <v>26</v>
      </c>
      <c r="AV20">
        <f t="shared" si="5"/>
        <v>0</v>
      </c>
      <c r="AW20">
        <f t="shared" si="6"/>
        <v>0</v>
      </c>
      <c r="AX20">
        <f t="shared" si="9"/>
        <v>5</v>
      </c>
      <c r="AY20" s="29">
        <f t="shared" si="10"/>
        <v>31</v>
      </c>
      <c r="AZ20" s="29">
        <f t="shared" si="11"/>
        <v>31</v>
      </c>
      <c r="BA20" s="30">
        <f t="shared" ca="1" si="12"/>
        <v>32028</v>
      </c>
      <c r="BB20" s="30">
        <f t="shared" ca="1" si="13"/>
        <v>1033.1612903225807</v>
      </c>
      <c r="BC20" s="30">
        <f t="shared" ca="1" si="14"/>
        <v>0</v>
      </c>
      <c r="BD20" s="30">
        <f t="shared" ca="1" si="15"/>
        <v>32028</v>
      </c>
      <c r="BF20" s="34"/>
      <c r="BG20" s="31"/>
      <c r="BH20" s="31"/>
      <c r="BI20" s="31"/>
      <c r="BJ20" s="31"/>
    </row>
    <row r="21" spans="1:62" x14ac:dyDescent="0.3">
      <c r="C21" s="31"/>
      <c r="D21" s="31"/>
      <c r="E21" s="32"/>
      <c r="F21" s="8">
        <v>13</v>
      </c>
      <c r="G21" s="9">
        <v>1013</v>
      </c>
      <c r="H21" s="15" t="s">
        <v>15</v>
      </c>
      <c r="I21" s="17">
        <f t="shared" si="7"/>
        <v>5</v>
      </c>
      <c r="J21" s="18" t="s">
        <v>38</v>
      </c>
      <c r="K21" s="18" t="s">
        <v>38</v>
      </c>
      <c r="L21" s="18" t="str">
        <f t="shared" si="17"/>
        <v>WO</v>
      </c>
      <c r="M21" s="18" t="s">
        <v>38</v>
      </c>
      <c r="N21" s="18" t="s">
        <v>39</v>
      </c>
      <c r="O21" s="18" t="s">
        <v>38</v>
      </c>
      <c r="P21" s="18" t="s">
        <v>38</v>
      </c>
      <c r="Q21" s="18" t="s">
        <v>38</v>
      </c>
      <c r="R21" s="18" t="s">
        <v>38</v>
      </c>
      <c r="S21" s="18" t="str">
        <f t="shared" si="17"/>
        <v>WO</v>
      </c>
      <c r="T21" s="18" t="s">
        <v>38</v>
      </c>
      <c r="U21" s="18" t="s">
        <v>39</v>
      </c>
      <c r="V21" s="18" t="s">
        <v>38</v>
      </c>
      <c r="W21" s="18" t="s">
        <v>38</v>
      </c>
      <c r="X21" s="18" t="s">
        <v>38</v>
      </c>
      <c r="Y21" s="18" t="s">
        <v>38</v>
      </c>
      <c r="Z21" s="18" t="str">
        <f t="shared" si="16"/>
        <v>WO</v>
      </c>
      <c r="AA21" s="18" t="s">
        <v>38</v>
      </c>
      <c r="AB21" s="18" t="s">
        <v>39</v>
      </c>
      <c r="AC21" s="18" t="s">
        <v>38</v>
      </c>
      <c r="AD21" s="18" t="s">
        <v>38</v>
      </c>
      <c r="AE21" s="18" t="s">
        <v>38</v>
      </c>
      <c r="AF21" s="18" t="s">
        <v>38</v>
      </c>
      <c r="AG21" s="18" t="str">
        <f t="shared" si="16"/>
        <v>WO</v>
      </c>
      <c r="AH21" s="18" t="s">
        <v>38</v>
      </c>
      <c r="AI21" s="18" t="s">
        <v>39</v>
      </c>
      <c r="AJ21" s="18" t="s">
        <v>38</v>
      </c>
      <c r="AK21" s="18" t="s">
        <v>38</v>
      </c>
      <c r="AL21" s="18" t="s">
        <v>38</v>
      </c>
      <c r="AM21" s="18" t="s">
        <v>38</v>
      </c>
      <c r="AN21" s="19" t="str">
        <f t="shared" si="16"/>
        <v>WO</v>
      </c>
      <c r="AO21" s="32"/>
      <c r="AP21" s="34"/>
      <c r="AQ21" s="9">
        <v>13</v>
      </c>
      <c r="AR21" s="9">
        <v>1013</v>
      </c>
      <c r="AS21" s="9" t="str">
        <f t="shared" si="8"/>
        <v>August</v>
      </c>
      <c r="AT21" s="15" t="s">
        <v>15</v>
      </c>
      <c r="AU21" s="28">
        <f t="shared" si="4"/>
        <v>22</v>
      </c>
      <c r="AV21">
        <f t="shared" si="5"/>
        <v>4</v>
      </c>
      <c r="AW21">
        <f t="shared" si="6"/>
        <v>0</v>
      </c>
      <c r="AX21">
        <f t="shared" si="9"/>
        <v>5</v>
      </c>
      <c r="AY21" s="29">
        <f t="shared" si="10"/>
        <v>31</v>
      </c>
      <c r="AZ21" s="29">
        <f t="shared" si="11"/>
        <v>27</v>
      </c>
      <c r="BA21" s="30">
        <f t="shared" ca="1" si="12"/>
        <v>11217</v>
      </c>
      <c r="BB21" s="30">
        <f t="shared" ca="1" si="13"/>
        <v>415.44444444444446</v>
      </c>
      <c r="BC21" s="30">
        <f t="shared" ca="1" si="14"/>
        <v>1661.7777777777778</v>
      </c>
      <c r="BD21" s="30">
        <f t="shared" ca="1" si="15"/>
        <v>9555.2222222222226</v>
      </c>
      <c r="BF21" s="34"/>
      <c r="BG21" s="31"/>
      <c r="BH21" s="31"/>
      <c r="BI21" s="31"/>
      <c r="BJ21" s="31"/>
    </row>
    <row r="22" spans="1:62" x14ac:dyDescent="0.3">
      <c r="C22" s="31"/>
      <c r="D22" s="31"/>
      <c r="E22" s="32"/>
      <c r="F22" s="8">
        <v>14</v>
      </c>
      <c r="G22" s="9">
        <v>1014</v>
      </c>
      <c r="H22" s="15" t="s">
        <v>16</v>
      </c>
      <c r="I22" s="17">
        <f t="shared" si="7"/>
        <v>5</v>
      </c>
      <c r="J22" s="18" t="s">
        <v>38</v>
      </c>
      <c r="K22" s="18" t="s">
        <v>38</v>
      </c>
      <c r="L22" s="18" t="str">
        <f t="shared" si="17"/>
        <v>WO</v>
      </c>
      <c r="M22" s="18" t="s">
        <v>38</v>
      </c>
      <c r="N22" s="18" t="s">
        <v>38</v>
      </c>
      <c r="O22" s="18" t="s">
        <v>38</v>
      </c>
      <c r="P22" s="18" t="s">
        <v>38</v>
      </c>
      <c r="Q22" s="18" t="s">
        <v>38</v>
      </c>
      <c r="R22" s="18" t="s">
        <v>38</v>
      </c>
      <c r="S22" s="18" t="str">
        <f t="shared" si="17"/>
        <v>WO</v>
      </c>
      <c r="T22" s="18" t="s">
        <v>38</v>
      </c>
      <c r="U22" s="18" t="s">
        <v>38</v>
      </c>
      <c r="V22" s="18" t="s">
        <v>38</v>
      </c>
      <c r="W22" s="18" t="s">
        <v>38</v>
      </c>
      <c r="X22" s="18" t="s">
        <v>38</v>
      </c>
      <c r="Y22" s="18" t="s">
        <v>38</v>
      </c>
      <c r="Z22" s="18" t="str">
        <f t="shared" si="16"/>
        <v>WO</v>
      </c>
      <c r="AA22" s="18" t="s">
        <v>38</v>
      </c>
      <c r="AB22" s="18" t="s">
        <v>38</v>
      </c>
      <c r="AC22" s="18" t="s">
        <v>38</v>
      </c>
      <c r="AD22" s="18" t="s">
        <v>38</v>
      </c>
      <c r="AE22" s="18" t="s">
        <v>38</v>
      </c>
      <c r="AF22" s="18" t="s">
        <v>38</v>
      </c>
      <c r="AG22" s="18" t="str">
        <f t="shared" si="16"/>
        <v>WO</v>
      </c>
      <c r="AH22" s="18" t="s">
        <v>38</v>
      </c>
      <c r="AI22" s="18" t="s">
        <v>38</v>
      </c>
      <c r="AJ22" s="18" t="s">
        <v>38</v>
      </c>
      <c r="AK22" s="18" t="s">
        <v>38</v>
      </c>
      <c r="AL22" s="18" t="s">
        <v>38</v>
      </c>
      <c r="AM22" s="18" t="s">
        <v>38</v>
      </c>
      <c r="AN22" s="19" t="str">
        <f t="shared" si="16"/>
        <v>WO</v>
      </c>
      <c r="AO22" s="32"/>
      <c r="AP22" s="34"/>
      <c r="AQ22" s="9">
        <v>14</v>
      </c>
      <c r="AR22" s="9">
        <v>1014</v>
      </c>
      <c r="AS22" s="9" t="str">
        <f t="shared" si="8"/>
        <v>August</v>
      </c>
      <c r="AT22" s="15" t="s">
        <v>16</v>
      </c>
      <c r="AU22" s="28">
        <f t="shared" si="4"/>
        <v>26</v>
      </c>
      <c r="AV22">
        <f t="shared" si="5"/>
        <v>0</v>
      </c>
      <c r="AW22">
        <f t="shared" si="6"/>
        <v>0</v>
      </c>
      <c r="AX22">
        <f t="shared" si="9"/>
        <v>5</v>
      </c>
      <c r="AY22" s="29">
        <f t="shared" si="10"/>
        <v>31</v>
      </c>
      <c r="AZ22" s="29">
        <f t="shared" si="11"/>
        <v>31</v>
      </c>
      <c r="BA22" s="30">
        <f t="shared" ca="1" si="12"/>
        <v>21329</v>
      </c>
      <c r="BB22" s="30">
        <f t="shared" ca="1" si="13"/>
        <v>688.0322580645161</v>
      </c>
      <c r="BC22" s="30">
        <f t="shared" ca="1" si="14"/>
        <v>0</v>
      </c>
      <c r="BD22" s="30">
        <f t="shared" ca="1" si="15"/>
        <v>21329</v>
      </c>
      <c r="BF22" s="34"/>
      <c r="BG22" s="31"/>
      <c r="BH22" s="31"/>
      <c r="BI22" s="31"/>
      <c r="BJ22" s="31"/>
    </row>
    <row r="23" spans="1:62" x14ac:dyDescent="0.3">
      <c r="C23" s="31"/>
      <c r="D23" s="31"/>
      <c r="E23" s="32"/>
      <c r="F23" s="8">
        <v>15</v>
      </c>
      <c r="G23" s="9">
        <v>1015</v>
      </c>
      <c r="H23" s="15" t="s">
        <v>17</v>
      </c>
      <c r="I23" s="17">
        <f t="shared" si="7"/>
        <v>5</v>
      </c>
      <c r="J23" s="18" t="s">
        <v>38</v>
      </c>
      <c r="K23" s="18" t="s">
        <v>38</v>
      </c>
      <c r="L23" s="18" t="str">
        <f t="shared" si="17"/>
        <v>WO</v>
      </c>
      <c r="M23" s="18" t="s">
        <v>38</v>
      </c>
      <c r="N23" s="18" t="s">
        <v>38</v>
      </c>
      <c r="O23" s="18" t="s">
        <v>38</v>
      </c>
      <c r="P23" s="18" t="s">
        <v>38</v>
      </c>
      <c r="Q23" s="18" t="s">
        <v>38</v>
      </c>
      <c r="R23" s="18" t="s">
        <v>38</v>
      </c>
      <c r="S23" s="18" t="str">
        <f t="shared" si="17"/>
        <v>WO</v>
      </c>
      <c r="T23" s="18" t="s">
        <v>38</v>
      </c>
      <c r="U23" s="18" t="s">
        <v>38</v>
      </c>
      <c r="V23" s="18" t="s">
        <v>38</v>
      </c>
      <c r="W23" s="18" t="s">
        <v>38</v>
      </c>
      <c r="X23" s="18" t="s">
        <v>38</v>
      </c>
      <c r="Y23" s="18" t="s">
        <v>38</v>
      </c>
      <c r="Z23" s="18" t="str">
        <f t="shared" si="16"/>
        <v>WO</v>
      </c>
      <c r="AA23" s="18" t="s">
        <v>38</v>
      </c>
      <c r="AB23" s="18" t="s">
        <v>38</v>
      </c>
      <c r="AC23" s="18" t="s">
        <v>38</v>
      </c>
      <c r="AD23" s="18" t="s">
        <v>38</v>
      </c>
      <c r="AE23" s="18" t="s">
        <v>38</v>
      </c>
      <c r="AF23" s="18" t="s">
        <v>38</v>
      </c>
      <c r="AG23" s="18" t="str">
        <f t="shared" si="16"/>
        <v>WO</v>
      </c>
      <c r="AH23" s="18" t="s">
        <v>38</v>
      </c>
      <c r="AI23" s="18" t="s">
        <v>38</v>
      </c>
      <c r="AJ23" s="18" t="s">
        <v>38</v>
      </c>
      <c r="AK23" s="18" t="s">
        <v>38</v>
      </c>
      <c r="AL23" s="18" t="s">
        <v>38</v>
      </c>
      <c r="AM23" s="18" t="s">
        <v>38</v>
      </c>
      <c r="AN23" s="19" t="str">
        <f t="shared" si="16"/>
        <v>WO</v>
      </c>
      <c r="AO23" s="32"/>
      <c r="AP23" s="34"/>
      <c r="AQ23" s="9">
        <v>15</v>
      </c>
      <c r="AR23" s="9">
        <v>1015</v>
      </c>
      <c r="AS23" s="9" t="str">
        <f t="shared" si="8"/>
        <v>August</v>
      </c>
      <c r="AT23" s="15" t="s">
        <v>17</v>
      </c>
      <c r="AU23" s="28">
        <f t="shared" si="4"/>
        <v>26</v>
      </c>
      <c r="AV23">
        <f t="shared" si="5"/>
        <v>0</v>
      </c>
      <c r="AW23">
        <f t="shared" si="6"/>
        <v>0</v>
      </c>
      <c r="AX23">
        <f t="shared" si="9"/>
        <v>5</v>
      </c>
      <c r="AY23" s="29">
        <f t="shared" si="10"/>
        <v>31</v>
      </c>
      <c r="AZ23" s="29">
        <f t="shared" si="11"/>
        <v>31</v>
      </c>
      <c r="BA23" s="30">
        <f t="shared" ca="1" si="12"/>
        <v>20794</v>
      </c>
      <c r="BB23" s="30">
        <f t="shared" ca="1" si="13"/>
        <v>670.77419354838707</v>
      </c>
      <c r="BC23" s="30">
        <f t="shared" ca="1" si="14"/>
        <v>0</v>
      </c>
      <c r="BD23" s="30">
        <f t="shared" ca="1" si="15"/>
        <v>20794</v>
      </c>
      <c r="BF23" s="34"/>
      <c r="BG23" s="31"/>
      <c r="BH23" s="31"/>
      <c r="BI23" s="31"/>
      <c r="BJ23" s="31"/>
    </row>
    <row r="24" spans="1:62" x14ac:dyDescent="0.3">
      <c r="C24" s="31"/>
      <c r="D24" s="31"/>
      <c r="E24" s="32"/>
      <c r="F24" s="8">
        <v>16</v>
      </c>
      <c r="G24" s="9">
        <v>1016</v>
      </c>
      <c r="H24" s="15" t="s">
        <v>18</v>
      </c>
      <c r="I24" s="17">
        <f t="shared" si="7"/>
        <v>5</v>
      </c>
      <c r="J24" s="18" t="s">
        <v>38</v>
      </c>
      <c r="K24" s="18" t="s">
        <v>38</v>
      </c>
      <c r="L24" s="18" t="str">
        <f t="shared" si="17"/>
        <v>WO</v>
      </c>
      <c r="M24" s="18" t="s">
        <v>38</v>
      </c>
      <c r="N24" s="18" t="s">
        <v>38</v>
      </c>
      <c r="O24" s="18" t="s">
        <v>39</v>
      </c>
      <c r="P24" s="18" t="s">
        <v>38</v>
      </c>
      <c r="Q24" s="18" t="s">
        <v>38</v>
      </c>
      <c r="R24" s="18" t="s">
        <v>38</v>
      </c>
      <c r="S24" s="18" t="str">
        <f t="shared" si="17"/>
        <v>WO</v>
      </c>
      <c r="T24" s="18" t="s">
        <v>38</v>
      </c>
      <c r="U24" s="18" t="s">
        <v>38</v>
      </c>
      <c r="V24" s="18" t="s">
        <v>39</v>
      </c>
      <c r="W24" s="18" t="s">
        <v>38</v>
      </c>
      <c r="X24" s="18" t="s">
        <v>38</v>
      </c>
      <c r="Y24" s="18" t="s">
        <v>38</v>
      </c>
      <c r="Z24" s="18" t="str">
        <f t="shared" si="16"/>
        <v>WO</v>
      </c>
      <c r="AA24" s="18" t="s">
        <v>38</v>
      </c>
      <c r="AB24" s="18" t="s">
        <v>38</v>
      </c>
      <c r="AC24" s="18" t="s">
        <v>39</v>
      </c>
      <c r="AD24" s="18" t="s">
        <v>38</v>
      </c>
      <c r="AE24" s="18" t="s">
        <v>38</v>
      </c>
      <c r="AF24" s="18" t="s">
        <v>38</v>
      </c>
      <c r="AG24" s="18" t="str">
        <f t="shared" si="16"/>
        <v>WO</v>
      </c>
      <c r="AH24" s="18" t="s">
        <v>38</v>
      </c>
      <c r="AI24" s="18" t="s">
        <v>38</v>
      </c>
      <c r="AJ24" s="18" t="s">
        <v>39</v>
      </c>
      <c r="AK24" s="18" t="s">
        <v>38</v>
      </c>
      <c r="AL24" s="18" t="s">
        <v>38</v>
      </c>
      <c r="AM24" s="18" t="s">
        <v>38</v>
      </c>
      <c r="AN24" s="19" t="str">
        <f t="shared" si="16"/>
        <v>WO</v>
      </c>
      <c r="AO24" s="32"/>
      <c r="AP24" s="34"/>
      <c r="AQ24" s="9">
        <v>16</v>
      </c>
      <c r="AR24" s="9">
        <v>1016</v>
      </c>
      <c r="AS24" s="9" t="str">
        <f t="shared" si="8"/>
        <v>August</v>
      </c>
      <c r="AT24" s="15" t="s">
        <v>18</v>
      </c>
      <c r="AU24" s="28">
        <f t="shared" si="4"/>
        <v>22</v>
      </c>
      <c r="AV24">
        <f t="shared" si="5"/>
        <v>4</v>
      </c>
      <c r="AW24">
        <f t="shared" si="6"/>
        <v>0</v>
      </c>
      <c r="AX24">
        <f t="shared" si="9"/>
        <v>5</v>
      </c>
      <c r="AY24" s="29">
        <f t="shared" si="10"/>
        <v>31</v>
      </c>
      <c r="AZ24" s="29">
        <f t="shared" si="11"/>
        <v>27</v>
      </c>
      <c r="BA24" s="30">
        <f t="shared" ca="1" si="12"/>
        <v>30346</v>
      </c>
      <c r="BB24" s="30">
        <f t="shared" ca="1" si="13"/>
        <v>1123.9259259259259</v>
      </c>
      <c r="BC24" s="30">
        <f t="shared" ca="1" si="14"/>
        <v>4495.7037037037035</v>
      </c>
      <c r="BD24" s="30">
        <f t="shared" ca="1" si="15"/>
        <v>25850.296296296296</v>
      </c>
      <c r="BF24" s="34"/>
      <c r="BG24" s="31"/>
      <c r="BH24" s="31"/>
      <c r="BI24" s="31"/>
      <c r="BJ24" s="31"/>
    </row>
    <row r="25" spans="1:62" x14ac:dyDescent="0.3">
      <c r="C25" s="31"/>
      <c r="D25" s="31"/>
      <c r="E25" s="32"/>
      <c r="F25" s="8">
        <v>17</v>
      </c>
      <c r="G25" s="9">
        <v>1017</v>
      </c>
      <c r="H25" s="15" t="s">
        <v>19</v>
      </c>
      <c r="I25" s="17">
        <f t="shared" si="7"/>
        <v>5</v>
      </c>
      <c r="J25" s="18" t="s">
        <v>38</v>
      </c>
      <c r="K25" s="18" t="s">
        <v>38</v>
      </c>
      <c r="L25" s="18" t="str">
        <f t="shared" si="17"/>
        <v>WO</v>
      </c>
      <c r="M25" s="18" t="s">
        <v>39</v>
      </c>
      <c r="N25" s="18" t="s">
        <v>38</v>
      </c>
      <c r="O25" s="18" t="s">
        <v>38</v>
      </c>
      <c r="P25" s="18" t="s">
        <v>38</v>
      </c>
      <c r="Q25" s="18" t="s">
        <v>38</v>
      </c>
      <c r="R25" s="18" t="s">
        <v>38</v>
      </c>
      <c r="S25" s="18" t="str">
        <f t="shared" si="17"/>
        <v>WO</v>
      </c>
      <c r="T25" s="18" t="s">
        <v>39</v>
      </c>
      <c r="U25" s="18" t="s">
        <v>38</v>
      </c>
      <c r="V25" s="18" t="s">
        <v>38</v>
      </c>
      <c r="W25" s="18" t="s">
        <v>38</v>
      </c>
      <c r="X25" s="18" t="s">
        <v>38</v>
      </c>
      <c r="Y25" s="18" t="s">
        <v>38</v>
      </c>
      <c r="Z25" s="18" t="str">
        <f t="shared" si="16"/>
        <v>WO</v>
      </c>
      <c r="AA25" s="18" t="s">
        <v>39</v>
      </c>
      <c r="AB25" s="18" t="s">
        <v>38</v>
      </c>
      <c r="AC25" s="18" t="s">
        <v>38</v>
      </c>
      <c r="AD25" s="18" t="s">
        <v>38</v>
      </c>
      <c r="AE25" s="18" t="s">
        <v>38</v>
      </c>
      <c r="AF25" s="18" t="s">
        <v>38</v>
      </c>
      <c r="AG25" s="18" t="str">
        <f t="shared" si="16"/>
        <v>WO</v>
      </c>
      <c r="AH25" s="18" t="s">
        <v>39</v>
      </c>
      <c r="AI25" s="18" t="s">
        <v>38</v>
      </c>
      <c r="AJ25" s="18" t="s">
        <v>38</v>
      </c>
      <c r="AK25" s="18" t="s">
        <v>38</v>
      </c>
      <c r="AL25" s="18" t="s">
        <v>38</v>
      </c>
      <c r="AM25" s="18" t="s">
        <v>38</v>
      </c>
      <c r="AN25" s="19" t="str">
        <f t="shared" si="16"/>
        <v>WO</v>
      </c>
      <c r="AO25" s="32"/>
      <c r="AP25" s="34"/>
      <c r="AQ25" s="9">
        <v>17</v>
      </c>
      <c r="AR25" s="9">
        <v>1017</v>
      </c>
      <c r="AS25" s="9" t="str">
        <f t="shared" si="8"/>
        <v>August</v>
      </c>
      <c r="AT25" s="15" t="s">
        <v>19</v>
      </c>
      <c r="AU25" s="28">
        <f t="shared" si="4"/>
        <v>22</v>
      </c>
      <c r="AV25">
        <f t="shared" si="5"/>
        <v>4</v>
      </c>
      <c r="AW25">
        <f t="shared" si="6"/>
        <v>0</v>
      </c>
      <c r="AX25">
        <f t="shared" si="9"/>
        <v>5</v>
      </c>
      <c r="AY25" s="29">
        <f t="shared" si="10"/>
        <v>31</v>
      </c>
      <c r="AZ25" s="29">
        <f t="shared" si="11"/>
        <v>27</v>
      </c>
      <c r="BA25" s="30">
        <f t="shared" ca="1" si="12"/>
        <v>31641</v>
      </c>
      <c r="BB25" s="30">
        <f t="shared" ca="1" si="13"/>
        <v>1171.8888888888889</v>
      </c>
      <c r="BC25" s="30">
        <f t="shared" ca="1" si="14"/>
        <v>4687.5555555555557</v>
      </c>
      <c r="BD25" s="30">
        <f t="shared" ca="1" si="15"/>
        <v>26953.444444444445</v>
      </c>
      <c r="BF25" s="34"/>
      <c r="BG25" s="31"/>
      <c r="BH25" s="31"/>
      <c r="BI25" s="31"/>
      <c r="BJ25" s="31"/>
    </row>
    <row r="26" spans="1:62" x14ac:dyDescent="0.3">
      <c r="C26" s="31"/>
      <c r="D26" s="31"/>
      <c r="E26" s="32"/>
      <c r="F26" s="8">
        <v>18</v>
      </c>
      <c r="G26" s="9">
        <v>1018</v>
      </c>
      <c r="H26" s="15" t="s">
        <v>22</v>
      </c>
      <c r="I26" s="17">
        <f t="shared" si="7"/>
        <v>5</v>
      </c>
      <c r="J26" s="18" t="s">
        <v>38</v>
      </c>
      <c r="K26" s="18" t="s">
        <v>38</v>
      </c>
      <c r="L26" s="18" t="str">
        <f t="shared" si="17"/>
        <v>WO</v>
      </c>
      <c r="M26" s="18" t="s">
        <v>38</v>
      </c>
      <c r="N26" s="18" t="s">
        <v>38</v>
      </c>
      <c r="O26" s="18" t="s">
        <v>38</v>
      </c>
      <c r="P26" s="18" t="s">
        <v>38</v>
      </c>
      <c r="Q26" s="18" t="s">
        <v>38</v>
      </c>
      <c r="R26" s="18" t="s">
        <v>38</v>
      </c>
      <c r="S26" s="18" t="str">
        <f t="shared" si="17"/>
        <v>WO</v>
      </c>
      <c r="T26" s="18" t="s">
        <v>38</v>
      </c>
      <c r="U26" s="18" t="s">
        <v>38</v>
      </c>
      <c r="V26" s="18" t="s">
        <v>38</v>
      </c>
      <c r="W26" s="18" t="s">
        <v>38</v>
      </c>
      <c r="X26" s="18" t="s">
        <v>38</v>
      </c>
      <c r="Y26" s="18" t="s">
        <v>38</v>
      </c>
      <c r="Z26" s="18" t="str">
        <f t="shared" si="16"/>
        <v>WO</v>
      </c>
      <c r="AA26" s="18" t="s">
        <v>38</v>
      </c>
      <c r="AB26" s="18" t="s">
        <v>38</v>
      </c>
      <c r="AC26" s="18" t="s">
        <v>38</v>
      </c>
      <c r="AD26" s="18" t="s">
        <v>38</v>
      </c>
      <c r="AE26" s="18" t="s">
        <v>38</v>
      </c>
      <c r="AF26" s="18" t="s">
        <v>38</v>
      </c>
      <c r="AG26" s="18" t="str">
        <f t="shared" si="16"/>
        <v>WO</v>
      </c>
      <c r="AH26" s="18" t="s">
        <v>38</v>
      </c>
      <c r="AI26" s="18" t="s">
        <v>38</v>
      </c>
      <c r="AJ26" s="18" t="s">
        <v>38</v>
      </c>
      <c r="AK26" s="18" t="s">
        <v>38</v>
      </c>
      <c r="AL26" s="18" t="s">
        <v>38</v>
      </c>
      <c r="AM26" s="18" t="s">
        <v>38</v>
      </c>
      <c r="AN26" s="19" t="str">
        <f t="shared" si="16"/>
        <v>WO</v>
      </c>
      <c r="AO26" s="32"/>
      <c r="AP26" s="34"/>
      <c r="AQ26" s="9">
        <v>18</v>
      </c>
      <c r="AR26" s="9">
        <v>1018</v>
      </c>
      <c r="AS26" s="9" t="str">
        <f t="shared" si="8"/>
        <v>August</v>
      </c>
      <c r="AT26" s="15" t="s">
        <v>22</v>
      </c>
      <c r="AU26" s="28">
        <f t="shared" si="4"/>
        <v>26</v>
      </c>
      <c r="AV26">
        <f t="shared" si="5"/>
        <v>0</v>
      </c>
      <c r="AW26">
        <f t="shared" si="6"/>
        <v>0</v>
      </c>
      <c r="AX26">
        <f t="shared" si="9"/>
        <v>5</v>
      </c>
      <c r="AY26" s="29">
        <f t="shared" si="10"/>
        <v>31</v>
      </c>
      <c r="AZ26" s="29">
        <f t="shared" si="11"/>
        <v>31</v>
      </c>
      <c r="BA26" s="30">
        <f t="shared" ca="1" si="12"/>
        <v>32475</v>
      </c>
      <c r="BB26" s="30">
        <f t="shared" ca="1" si="13"/>
        <v>1047.5806451612902</v>
      </c>
      <c r="BC26" s="30">
        <f t="shared" ca="1" si="14"/>
        <v>0</v>
      </c>
      <c r="BD26" s="30">
        <f t="shared" ca="1" si="15"/>
        <v>32475</v>
      </c>
      <c r="BF26" s="34"/>
      <c r="BG26" s="31"/>
      <c r="BH26" s="31"/>
      <c r="BI26" s="31"/>
      <c r="BJ26" s="31"/>
    </row>
    <row r="27" spans="1:62" x14ac:dyDescent="0.3">
      <c r="C27" s="31"/>
      <c r="D27" s="31"/>
      <c r="E27" s="32"/>
      <c r="F27" s="8">
        <v>19</v>
      </c>
      <c r="G27" s="9">
        <v>1019</v>
      </c>
      <c r="H27" s="15" t="s">
        <v>20</v>
      </c>
      <c r="I27" s="17">
        <f t="shared" si="7"/>
        <v>5</v>
      </c>
      <c r="J27" s="18" t="s">
        <v>38</v>
      </c>
      <c r="K27" s="18" t="s">
        <v>38</v>
      </c>
      <c r="L27" s="18" t="str">
        <f t="shared" si="17"/>
        <v>WO</v>
      </c>
      <c r="M27" s="18" t="s">
        <v>38</v>
      </c>
      <c r="N27" s="18" t="s">
        <v>39</v>
      </c>
      <c r="O27" s="18" t="s">
        <v>38</v>
      </c>
      <c r="P27" s="18" t="s">
        <v>38</v>
      </c>
      <c r="Q27" s="18" t="s">
        <v>38</v>
      </c>
      <c r="R27" s="18" t="s">
        <v>38</v>
      </c>
      <c r="S27" s="18" t="str">
        <f t="shared" si="17"/>
        <v>WO</v>
      </c>
      <c r="T27" s="18" t="s">
        <v>38</v>
      </c>
      <c r="U27" s="18" t="s">
        <v>39</v>
      </c>
      <c r="V27" s="18" t="s">
        <v>38</v>
      </c>
      <c r="W27" s="18" t="s">
        <v>38</v>
      </c>
      <c r="X27" s="18" t="s">
        <v>38</v>
      </c>
      <c r="Y27" s="18" t="s">
        <v>38</v>
      </c>
      <c r="Z27" s="18" t="str">
        <f t="shared" si="16"/>
        <v>WO</v>
      </c>
      <c r="AA27" s="18" t="s">
        <v>38</v>
      </c>
      <c r="AB27" s="18" t="s">
        <v>39</v>
      </c>
      <c r="AC27" s="18" t="s">
        <v>38</v>
      </c>
      <c r="AD27" s="18" t="s">
        <v>38</v>
      </c>
      <c r="AE27" s="18" t="s">
        <v>38</v>
      </c>
      <c r="AF27" s="18" t="s">
        <v>38</v>
      </c>
      <c r="AG27" s="18" t="str">
        <f t="shared" si="16"/>
        <v>WO</v>
      </c>
      <c r="AH27" s="18" t="s">
        <v>38</v>
      </c>
      <c r="AI27" s="18" t="s">
        <v>39</v>
      </c>
      <c r="AJ27" s="18" t="s">
        <v>38</v>
      </c>
      <c r="AK27" s="18" t="s">
        <v>38</v>
      </c>
      <c r="AL27" s="18" t="s">
        <v>38</v>
      </c>
      <c r="AM27" s="18" t="s">
        <v>38</v>
      </c>
      <c r="AN27" s="19" t="str">
        <f t="shared" si="16"/>
        <v>WO</v>
      </c>
      <c r="AO27" s="32"/>
      <c r="AP27" s="34"/>
      <c r="AQ27" s="9">
        <v>19</v>
      </c>
      <c r="AR27" s="9">
        <v>1019</v>
      </c>
      <c r="AS27" s="9" t="str">
        <f t="shared" si="8"/>
        <v>August</v>
      </c>
      <c r="AT27" s="15" t="s">
        <v>20</v>
      </c>
      <c r="AU27" s="28">
        <f t="shared" si="4"/>
        <v>22</v>
      </c>
      <c r="AV27">
        <f t="shared" si="5"/>
        <v>4</v>
      </c>
      <c r="AW27">
        <f t="shared" si="6"/>
        <v>0</v>
      </c>
      <c r="AX27">
        <f t="shared" si="9"/>
        <v>5</v>
      </c>
      <c r="AY27" s="29">
        <f t="shared" si="10"/>
        <v>31</v>
      </c>
      <c r="AZ27" s="29">
        <f t="shared" si="11"/>
        <v>27</v>
      </c>
      <c r="BA27" s="30">
        <f t="shared" ca="1" si="12"/>
        <v>13251</v>
      </c>
      <c r="BB27" s="30">
        <f t="shared" ca="1" si="13"/>
        <v>490.77777777777777</v>
      </c>
      <c r="BC27" s="30">
        <f t="shared" ca="1" si="14"/>
        <v>1963.1111111111111</v>
      </c>
      <c r="BD27" s="30">
        <f t="shared" ca="1" si="15"/>
        <v>11287.888888888889</v>
      </c>
      <c r="BF27" s="34"/>
      <c r="BG27" s="31"/>
      <c r="BH27" s="31"/>
      <c r="BI27" s="31"/>
      <c r="BJ27" s="31"/>
    </row>
    <row r="28" spans="1:62" ht="15" thickBot="1" x14ac:dyDescent="0.35">
      <c r="C28" s="31"/>
      <c r="D28" s="31"/>
      <c r="E28" s="32"/>
      <c r="F28" s="10">
        <v>20</v>
      </c>
      <c r="G28" s="11">
        <v>1020</v>
      </c>
      <c r="H28" s="16" t="s">
        <v>21</v>
      </c>
      <c r="I28" s="20">
        <f t="shared" si="7"/>
        <v>5</v>
      </c>
      <c r="J28" s="21" t="s">
        <v>39</v>
      </c>
      <c r="K28" s="21" t="s">
        <v>39</v>
      </c>
      <c r="L28" s="21" t="str">
        <f t="shared" si="17"/>
        <v>WO</v>
      </c>
      <c r="M28" s="21" t="s">
        <v>38</v>
      </c>
      <c r="N28" s="21" t="s">
        <v>38</v>
      </c>
      <c r="O28" s="21" t="s">
        <v>38</v>
      </c>
      <c r="P28" s="21" t="s">
        <v>39</v>
      </c>
      <c r="Q28" s="21" t="s">
        <v>39</v>
      </c>
      <c r="R28" s="21" t="s">
        <v>39</v>
      </c>
      <c r="S28" s="21" t="str">
        <f t="shared" si="17"/>
        <v>WO</v>
      </c>
      <c r="T28" s="21" t="s">
        <v>38</v>
      </c>
      <c r="U28" s="21" t="s">
        <v>38</v>
      </c>
      <c r="V28" s="21" t="s">
        <v>38</v>
      </c>
      <c r="W28" s="21" t="s">
        <v>39</v>
      </c>
      <c r="X28" s="21" t="s">
        <v>39</v>
      </c>
      <c r="Y28" s="21" t="s">
        <v>39</v>
      </c>
      <c r="Z28" s="21" t="str">
        <f t="shared" si="16"/>
        <v>WO</v>
      </c>
      <c r="AA28" s="21" t="s">
        <v>38</v>
      </c>
      <c r="AB28" s="21" t="s">
        <v>38</v>
      </c>
      <c r="AC28" s="21" t="s">
        <v>38</v>
      </c>
      <c r="AD28" s="21" t="s">
        <v>39</v>
      </c>
      <c r="AE28" s="21" t="s">
        <v>39</v>
      </c>
      <c r="AF28" s="21" t="s">
        <v>39</v>
      </c>
      <c r="AG28" s="21" t="str">
        <f t="shared" si="16"/>
        <v>WO</v>
      </c>
      <c r="AH28" s="21" t="s">
        <v>38</v>
      </c>
      <c r="AI28" s="21" t="s">
        <v>38</v>
      </c>
      <c r="AJ28" s="21" t="s">
        <v>38</v>
      </c>
      <c r="AK28" s="21" t="s">
        <v>39</v>
      </c>
      <c r="AL28" s="21" t="s">
        <v>39</v>
      </c>
      <c r="AM28" s="21" t="s">
        <v>39</v>
      </c>
      <c r="AN28" s="22" t="str">
        <f t="shared" si="16"/>
        <v>WO</v>
      </c>
      <c r="AO28" s="32"/>
      <c r="AP28" s="34"/>
      <c r="AQ28" s="9">
        <v>20</v>
      </c>
      <c r="AR28" s="9">
        <v>1020</v>
      </c>
      <c r="AS28" s="9" t="str">
        <f t="shared" si="8"/>
        <v>August</v>
      </c>
      <c r="AT28" s="15" t="s">
        <v>21</v>
      </c>
      <c r="AU28" s="28">
        <f t="shared" si="4"/>
        <v>12</v>
      </c>
      <c r="AV28">
        <f t="shared" si="5"/>
        <v>14</v>
      </c>
      <c r="AW28">
        <f t="shared" si="6"/>
        <v>0</v>
      </c>
      <c r="AX28">
        <f t="shared" si="9"/>
        <v>5</v>
      </c>
      <c r="AY28" s="29">
        <f t="shared" si="10"/>
        <v>31</v>
      </c>
      <c r="AZ28" s="29">
        <f t="shared" si="11"/>
        <v>17</v>
      </c>
      <c r="BA28" s="30">
        <f t="shared" ca="1" si="12"/>
        <v>49054</v>
      </c>
      <c r="BB28" s="30">
        <f t="shared" ca="1" si="13"/>
        <v>2885.5294117647059</v>
      </c>
      <c r="BC28" s="30">
        <f t="shared" ca="1" si="14"/>
        <v>40397.411764705881</v>
      </c>
      <c r="BD28" s="30">
        <f t="shared" ca="1" si="15"/>
        <v>8656.5882352941189</v>
      </c>
      <c r="BF28" s="34"/>
      <c r="BG28" s="31"/>
      <c r="BH28" s="31"/>
      <c r="BI28" s="31"/>
      <c r="BJ28" s="31"/>
    </row>
    <row r="29" spans="1:62" x14ac:dyDescent="0.3">
      <c r="A29" s="31"/>
      <c r="B29" s="31"/>
      <c r="C29" s="31"/>
      <c r="D29" s="31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1"/>
      <c r="BH29" s="31"/>
      <c r="BI29" s="31"/>
      <c r="BJ29" s="31"/>
    </row>
    <row r="30" spans="1:62" x14ac:dyDescent="0.3">
      <c r="A30" s="31"/>
      <c r="B30" s="31"/>
      <c r="C30" s="31"/>
      <c r="D30" s="31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1"/>
      <c r="BH30" s="31"/>
      <c r="BI30" s="31"/>
      <c r="BJ30" s="31"/>
    </row>
    <row r="31" spans="1:62" x14ac:dyDescent="0.3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</row>
    <row r="32" spans="1:62" x14ac:dyDescent="0.3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</row>
    <row r="33" spans="1:62" x14ac:dyDescent="0.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</row>
    <row r="34" spans="1:62" x14ac:dyDescent="0.3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</row>
    <row r="35" spans="1:62" x14ac:dyDescent="0.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</row>
    <row r="36" spans="1:62" x14ac:dyDescent="0.3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</row>
    <row r="37" spans="1:62" x14ac:dyDescent="0.3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</row>
    <row r="38" spans="1:62" x14ac:dyDescent="0.3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</row>
    <row r="39" spans="1:62" x14ac:dyDescent="0.3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</row>
    <row r="40" spans="1:62" x14ac:dyDescent="0.3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</row>
    <row r="41" spans="1:62" x14ac:dyDescent="0.3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</row>
    <row r="42" spans="1:62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</row>
    <row r="43" spans="1:62" x14ac:dyDescent="0.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</row>
    <row r="44" spans="1:62" x14ac:dyDescent="0.3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</row>
    <row r="45" spans="1:62" x14ac:dyDescent="0.3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</row>
    <row r="46" spans="1:62" x14ac:dyDescent="0.3">
      <c r="AO46" s="31"/>
      <c r="AP46" s="31"/>
      <c r="BF46" s="31"/>
      <c r="BG46" s="31"/>
      <c r="BH46" s="31"/>
      <c r="BI46" s="31"/>
      <c r="BJ46" s="31"/>
    </row>
    <row r="47" spans="1:62" x14ac:dyDescent="0.3">
      <c r="AO47" s="31"/>
      <c r="AP47" s="31"/>
      <c r="BF47" s="31"/>
      <c r="BG47" s="31"/>
      <c r="BH47" s="31"/>
      <c r="BI47" s="31"/>
      <c r="BJ47" s="31"/>
    </row>
    <row r="48" spans="1:62" x14ac:dyDescent="0.3">
      <c r="AO48" s="31"/>
      <c r="AP48" s="31"/>
      <c r="BF48" s="31"/>
      <c r="BG48" s="31"/>
      <c r="BH48" s="31"/>
      <c r="BI48" s="31"/>
      <c r="BJ48" s="31"/>
    </row>
    <row r="49" spans="41:62" x14ac:dyDescent="0.3">
      <c r="AO49" s="31"/>
      <c r="AP49" s="31"/>
      <c r="BF49" s="31"/>
      <c r="BG49" s="31"/>
      <c r="BH49" s="31"/>
      <c r="BI49" s="31"/>
      <c r="BJ49" s="31"/>
    </row>
  </sheetData>
  <conditionalFormatting sqref="J9:K28">
    <cfRule type="containsText" dxfId="157" priority="25" operator="containsText" text="L">
      <formula>NOT(ISERROR(SEARCH("L",J9)))</formula>
    </cfRule>
    <cfRule type="containsText" dxfId="156" priority="26" operator="containsText" text="A">
      <formula>NOT(ISERROR(SEARCH("A",J9)))</formula>
    </cfRule>
    <cfRule type="containsText" dxfId="155" priority="27" operator="containsText" text="P">
      <formula>NOT(ISERROR(SEARCH("P",J9)))</formula>
    </cfRule>
    <cfRule type="containsText" dxfId="154" priority="28" operator="containsText" text="WO">
      <formula>NOT(ISERROR(SEARCH("WO",J9)))</formula>
    </cfRule>
  </conditionalFormatting>
  <conditionalFormatting sqref="L9:L28 S9:S28 Z9:Z28 AG9:AG28 AN9:AN28">
    <cfRule type="containsText" dxfId="153" priority="57" operator="containsText" text="L">
      <formula>NOT(ISERROR(SEARCH("L",L9)))</formula>
    </cfRule>
    <cfRule type="containsText" dxfId="152" priority="58" operator="containsText" text="A">
      <formula>NOT(ISERROR(SEARCH("A",L9)))</formula>
    </cfRule>
    <cfRule type="containsText" dxfId="151" priority="59" operator="containsText" text="P">
      <formula>NOT(ISERROR(SEARCH("P",L9)))</formula>
    </cfRule>
    <cfRule type="containsText" dxfId="150" priority="73" operator="containsText" text="P">
      <formula>NOT(ISERROR(SEARCH("P",L9)))</formula>
    </cfRule>
    <cfRule type="containsText" dxfId="149" priority="74" operator="containsText" text="L">
      <formula>NOT(ISERROR(SEARCH("L",L9)))</formula>
    </cfRule>
    <cfRule type="containsText" dxfId="148" priority="75" operator="containsText" text="A">
      <formula>NOT(ISERROR(SEARCH("A",L9)))</formula>
    </cfRule>
    <cfRule type="containsText" dxfId="147" priority="76" operator="containsText" text="P">
      <formula>NOT(ISERROR(SEARCH("P",L9)))</formula>
    </cfRule>
    <cfRule type="containsText" dxfId="146" priority="77" operator="containsText" text="WO">
      <formula>NOT(ISERROR(SEARCH("WO",L9)))</formula>
    </cfRule>
  </conditionalFormatting>
  <conditionalFormatting sqref="M9:R28">
    <cfRule type="containsText" dxfId="145" priority="33" operator="containsText" text="L">
      <formula>NOT(ISERROR(SEARCH("L",M9)))</formula>
    </cfRule>
    <cfRule type="containsText" dxfId="144" priority="34" operator="containsText" text="A">
      <formula>NOT(ISERROR(SEARCH("A",M9)))</formula>
    </cfRule>
    <cfRule type="containsText" dxfId="143" priority="35" operator="containsText" text="P">
      <formula>NOT(ISERROR(SEARCH("P",M9)))</formula>
    </cfRule>
    <cfRule type="containsText" dxfId="142" priority="36" operator="containsText" text="WO">
      <formula>NOT(ISERROR(SEARCH("WO",M9)))</formula>
    </cfRule>
  </conditionalFormatting>
  <conditionalFormatting sqref="S9:S28 L9:L28 Z9:Z28 AG9:AG28 AN9:AN28">
    <cfRule type="containsText" dxfId="141" priority="69" operator="containsText" text="A">
      <formula>NOT(ISERROR(SEARCH("A",L9)))</formula>
    </cfRule>
  </conditionalFormatting>
  <conditionalFormatting sqref="S9:S28">
    <cfRule type="containsText" dxfId="140" priority="66" operator="containsText" text="L">
      <formula>NOT(ISERROR(SEARCH("L",S9)))</formula>
    </cfRule>
  </conditionalFormatting>
  <conditionalFormatting sqref="T9:Y28">
    <cfRule type="containsText" dxfId="139" priority="17" operator="containsText" text="L">
      <formula>NOT(ISERROR(SEARCH("L",T9)))</formula>
    </cfRule>
    <cfRule type="containsText" dxfId="138" priority="18" operator="containsText" text="A">
      <formula>NOT(ISERROR(SEARCH("A",T9)))</formula>
    </cfRule>
    <cfRule type="containsText" dxfId="137" priority="19" operator="containsText" text="P">
      <formula>NOT(ISERROR(SEARCH("P",T9)))</formula>
    </cfRule>
    <cfRule type="containsText" dxfId="136" priority="20" operator="containsText" text="WO">
      <formula>NOT(ISERROR(SEARCH("WO",T9)))</formula>
    </cfRule>
  </conditionalFormatting>
  <conditionalFormatting sqref="AA9:AF28">
    <cfRule type="containsText" dxfId="135" priority="9" operator="containsText" text="L">
      <formula>NOT(ISERROR(SEARCH("L",AA9)))</formula>
    </cfRule>
    <cfRule type="containsText" dxfId="134" priority="10" operator="containsText" text="A">
      <formula>NOT(ISERROR(SEARCH("A",AA9)))</formula>
    </cfRule>
    <cfRule type="containsText" dxfId="133" priority="11" operator="containsText" text="P">
      <formula>NOT(ISERROR(SEARCH("P",AA9)))</formula>
    </cfRule>
    <cfRule type="containsText" dxfId="132" priority="12" operator="containsText" text="WO">
      <formula>NOT(ISERROR(SEARCH("WO",AA9)))</formula>
    </cfRule>
  </conditionalFormatting>
  <conditionalFormatting sqref="AH9:AM28">
    <cfRule type="containsText" dxfId="131" priority="1" operator="containsText" text="L">
      <formula>NOT(ISERROR(SEARCH("L",AH9)))</formula>
    </cfRule>
    <cfRule type="containsText" dxfId="130" priority="2" operator="containsText" text="A">
      <formula>NOT(ISERROR(SEARCH("A",AH9)))</formula>
    </cfRule>
    <cfRule type="containsText" dxfId="129" priority="3" operator="containsText" text="P">
      <formula>NOT(ISERROR(SEARCH("P",AH9)))</formula>
    </cfRule>
    <cfRule type="containsText" dxfId="128" priority="4" operator="containsText" text="WO">
      <formula>NOT(ISERROR(SEARCH("WO",AH9)))</formula>
    </cfRule>
  </conditionalFormatting>
  <dataValidations count="1">
    <dataValidation type="list" allowBlank="1" showInputMessage="1" showErrorMessage="1" sqref="F7:I28 J7:AN8 M9:R28 T9:Y28 AA9:AF28 AH9:AM28 J9:K28" xr:uid="{30B57954-6DAB-4405-8858-D0923164FFA8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DFBEA97-3057-4EF3-A376-CB622A85E764}">
          <x14:formula1>
            <xm:f>Rough!$A$1:$A$12</xm:f>
          </x14:formula1>
          <xm:sqref>G5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D559DA03-4A4F-438B-824D-CD7168AB07A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August!AU9:AX9</xm:f>
              <xm:sqref>BE9</xm:sqref>
            </x14:sparkline>
            <x14:sparkline>
              <xm:f>August!AU10:AX10</xm:f>
              <xm:sqref>BE10</xm:sqref>
            </x14:sparkline>
            <x14:sparkline>
              <xm:f>August!AU11:AX11</xm:f>
              <xm:sqref>BE11</xm:sqref>
            </x14:sparkline>
            <x14:sparkline>
              <xm:f>August!AU12:AX12</xm:f>
              <xm:sqref>BE12</xm:sqref>
            </x14:sparkline>
            <x14:sparkline>
              <xm:f>August!AU13:AX13</xm:f>
              <xm:sqref>BE13</xm:sqref>
            </x14:sparkline>
            <x14:sparkline>
              <xm:f>August!AU14:AX14</xm:f>
              <xm:sqref>BE14</xm:sqref>
            </x14:sparkline>
            <x14:sparkline>
              <xm:f>August!AU15:AX15</xm:f>
              <xm:sqref>BE15</xm:sqref>
            </x14:sparkline>
            <x14:sparkline>
              <xm:f>August!AU16:AX16</xm:f>
              <xm:sqref>BE16</xm:sqref>
            </x14:sparkline>
            <x14:sparkline>
              <xm:f>August!AU17:AX17</xm:f>
              <xm:sqref>BE17</xm:sqref>
            </x14:sparkline>
            <x14:sparkline>
              <xm:f>August!AU18:AX18</xm:f>
              <xm:sqref>BE18</xm:sqref>
            </x14:sparkline>
            <x14:sparkline>
              <xm:f>August!AU19:AX19</xm:f>
              <xm:sqref>BE19</xm:sqref>
            </x14:sparkline>
            <x14:sparkline>
              <xm:f>August!AU20:AX20</xm:f>
              <xm:sqref>BE20</xm:sqref>
            </x14:sparkline>
            <x14:sparkline>
              <xm:f>August!AU21:AX21</xm:f>
              <xm:sqref>BE21</xm:sqref>
            </x14:sparkline>
            <x14:sparkline>
              <xm:f>August!AU22:AX22</xm:f>
              <xm:sqref>BE22</xm:sqref>
            </x14:sparkline>
            <x14:sparkline>
              <xm:f>August!AU23:AX23</xm:f>
              <xm:sqref>BE23</xm:sqref>
            </x14:sparkline>
            <x14:sparkline>
              <xm:f>August!AU24:AX24</xm:f>
              <xm:sqref>BE24</xm:sqref>
            </x14:sparkline>
            <x14:sparkline>
              <xm:f>August!AU25:AX25</xm:f>
              <xm:sqref>BE25</xm:sqref>
            </x14:sparkline>
            <x14:sparkline>
              <xm:f>August!AU26:AX26</xm:f>
              <xm:sqref>BE26</xm:sqref>
            </x14:sparkline>
            <x14:sparkline>
              <xm:f>August!AU27:AX27</xm:f>
              <xm:sqref>BE27</xm:sqref>
            </x14:sparkline>
            <x14:sparkline>
              <xm:f>August!AU28:AX28</xm:f>
              <xm:sqref>BE28</xm:sqref>
            </x14:sparkline>
          </x14:sparklines>
        </x14:sparklineGroup>
      </x14:sparklineGroup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A7CE5-6E89-48B7-AA78-294DDC5C1DA0}">
  <dimension ref="A1:BJ49"/>
  <sheetViews>
    <sheetView topLeftCell="AQ4" workbookViewId="0">
      <selection activeCell="AT29" sqref="AT29"/>
    </sheetView>
  </sheetViews>
  <sheetFormatPr defaultRowHeight="14.4" x14ac:dyDescent="0.3"/>
  <cols>
    <col min="6" max="6" width="6.33203125" bestFit="1" customWidth="1"/>
    <col min="7" max="7" width="14.33203125" bestFit="1" customWidth="1"/>
    <col min="8" max="8" width="18.77734375" bestFit="1" customWidth="1"/>
    <col min="9" max="9" width="10.5546875" bestFit="1" customWidth="1"/>
    <col min="10" max="10" width="5.5546875" customWidth="1"/>
    <col min="11" max="11" width="4" bestFit="1" customWidth="1"/>
    <col min="12" max="12" width="3.88671875" customWidth="1"/>
    <col min="13" max="13" width="3.5546875" bestFit="1" customWidth="1"/>
    <col min="14" max="14" width="3.88671875" bestFit="1" customWidth="1"/>
    <col min="15" max="15" width="4.77734375" bestFit="1" customWidth="1"/>
    <col min="16" max="16" width="4" bestFit="1" customWidth="1"/>
    <col min="17" max="17" width="4.77734375" bestFit="1" customWidth="1"/>
    <col min="18" max="18" width="4" bestFit="1" customWidth="1"/>
    <col min="19" max="19" width="3.44140625" customWidth="1"/>
    <col min="20" max="20" width="3.5546875" bestFit="1" customWidth="1"/>
    <col min="21" max="21" width="3.88671875" bestFit="1" customWidth="1"/>
    <col min="22" max="22" width="4.77734375" bestFit="1" customWidth="1"/>
    <col min="23" max="23" width="4" bestFit="1" customWidth="1"/>
    <col min="24" max="24" width="4.77734375" bestFit="1" customWidth="1"/>
    <col min="25" max="25" width="4" bestFit="1" customWidth="1"/>
    <col min="26" max="26" width="3.44140625" customWidth="1"/>
    <col min="27" max="27" width="3.5546875" bestFit="1" customWidth="1"/>
    <col min="28" max="28" width="3.88671875" bestFit="1" customWidth="1"/>
    <col min="29" max="29" width="4.77734375" bestFit="1" customWidth="1"/>
    <col min="30" max="30" width="4" bestFit="1" customWidth="1"/>
    <col min="31" max="31" width="4.77734375" bestFit="1" customWidth="1"/>
    <col min="32" max="32" width="4" bestFit="1" customWidth="1"/>
    <col min="33" max="33" width="4" customWidth="1"/>
    <col min="34" max="34" width="3.5546875" bestFit="1" customWidth="1"/>
    <col min="35" max="35" width="3.88671875" bestFit="1" customWidth="1"/>
    <col min="36" max="36" width="4.77734375" bestFit="1" customWidth="1"/>
    <col min="37" max="37" width="4" bestFit="1" customWidth="1"/>
    <col min="38" max="38" width="4.77734375" bestFit="1" customWidth="1"/>
    <col min="39" max="39" width="4" bestFit="1" customWidth="1"/>
    <col min="40" max="40" width="3.44140625" customWidth="1"/>
    <col min="44" max="44" width="16" customWidth="1"/>
    <col min="45" max="45" width="13.6640625" customWidth="1"/>
    <col min="46" max="46" width="20.33203125" customWidth="1"/>
    <col min="47" max="47" width="11" customWidth="1"/>
    <col min="48" max="48" width="10.33203125" customWidth="1"/>
    <col min="49" max="49" width="9.109375" customWidth="1"/>
    <col min="50" max="50" width="13" customWidth="1"/>
    <col min="51" max="51" width="8" customWidth="1"/>
    <col min="52" max="52" width="13.6640625" customWidth="1"/>
    <col min="53" max="53" width="11.5546875" bestFit="1" customWidth="1"/>
    <col min="54" max="54" width="17.77734375" customWidth="1"/>
    <col min="55" max="55" width="13.88671875" customWidth="1"/>
    <col min="56" max="56" width="15.21875" customWidth="1"/>
    <col min="57" max="57" width="12.77734375" customWidth="1"/>
  </cols>
  <sheetData>
    <row r="1" spans="1:62" x14ac:dyDescent="0.3">
      <c r="AP1" s="31"/>
      <c r="BF1" s="31"/>
      <c r="BG1" s="31"/>
      <c r="BH1" s="31"/>
      <c r="BI1" s="31"/>
      <c r="BJ1" s="31"/>
    </row>
    <row r="2" spans="1:62" x14ac:dyDescent="0.3">
      <c r="AP2" s="31"/>
      <c r="BF2" s="31"/>
      <c r="BG2" s="31"/>
      <c r="BH2" s="31"/>
      <c r="BI2" s="31"/>
      <c r="BJ2" s="31"/>
    </row>
    <row r="3" spans="1:62" x14ac:dyDescent="0.3">
      <c r="AP3" s="31"/>
      <c r="BF3" s="31"/>
      <c r="BG3" s="31"/>
      <c r="BH3" s="31"/>
      <c r="BI3" s="31"/>
      <c r="BJ3" s="31"/>
    </row>
    <row r="4" spans="1:62" x14ac:dyDescent="0.3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</row>
    <row r="5" spans="1:62" x14ac:dyDescent="0.3">
      <c r="A5" s="31"/>
      <c r="B5" s="31"/>
      <c r="C5" s="31"/>
      <c r="D5" s="31"/>
      <c r="E5" s="35" t="str">
        <f>TEXT(G5,"mmmm")</f>
        <v>September</v>
      </c>
      <c r="F5" s="35" t="s">
        <v>26</v>
      </c>
      <c r="G5" s="36">
        <v>45901</v>
      </c>
      <c r="H5" s="37">
        <f>(DATEDIF($G$5,$J$5,"D"))+1</f>
        <v>30</v>
      </c>
      <c r="I5" s="35" t="s">
        <v>27</v>
      </c>
      <c r="J5" s="36">
        <f>EOMONTH(G5,0)</f>
        <v>45930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</row>
    <row r="6" spans="1:62" ht="15" thickBot="1" x14ac:dyDescent="0.35">
      <c r="A6" s="31"/>
      <c r="B6" s="31"/>
      <c r="C6" s="31"/>
      <c r="D6" s="31"/>
      <c r="E6" s="32"/>
      <c r="F6" s="32"/>
      <c r="G6" s="32"/>
      <c r="H6" s="32"/>
      <c r="I6" s="32"/>
      <c r="J6" s="33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1"/>
      <c r="BH6" s="31"/>
      <c r="BI6" s="31"/>
      <c r="BJ6" s="31"/>
    </row>
    <row r="7" spans="1:62" ht="15" thickBot="1" x14ac:dyDescent="0.35">
      <c r="C7" s="31"/>
      <c r="D7" s="31"/>
      <c r="E7" s="32"/>
      <c r="F7" s="5"/>
      <c r="G7" s="6" t="s">
        <v>29</v>
      </c>
      <c r="H7" s="7"/>
      <c r="I7" s="5" t="s">
        <v>28</v>
      </c>
      <c r="J7" s="23" t="str">
        <f>TEXT(J8,"DDD")</f>
        <v>Mon</v>
      </c>
      <c r="K7" s="23" t="str">
        <f>TEXT(K8,"DDD")</f>
        <v>Tue</v>
      </c>
      <c r="L7" s="23" t="str">
        <f t="shared" ref="L7:AI7" si="0">TEXT(L8,"DDD")</f>
        <v>Wed</v>
      </c>
      <c r="M7" s="23" t="str">
        <f t="shared" si="0"/>
        <v>Thu</v>
      </c>
      <c r="N7" s="23" t="str">
        <f t="shared" si="0"/>
        <v>Fri</v>
      </c>
      <c r="O7" s="23" t="str">
        <f t="shared" si="0"/>
        <v>Sat</v>
      </c>
      <c r="P7" s="23" t="str">
        <f t="shared" si="0"/>
        <v>Sun</v>
      </c>
      <c r="Q7" s="23" t="str">
        <f t="shared" si="0"/>
        <v>Mon</v>
      </c>
      <c r="R7" s="23" t="str">
        <f t="shared" si="0"/>
        <v>Tue</v>
      </c>
      <c r="S7" s="23" t="str">
        <f t="shared" si="0"/>
        <v>Wed</v>
      </c>
      <c r="T7" s="23" t="str">
        <f t="shared" si="0"/>
        <v>Thu</v>
      </c>
      <c r="U7" s="23" t="str">
        <f t="shared" si="0"/>
        <v>Fri</v>
      </c>
      <c r="V7" s="23" t="str">
        <f t="shared" si="0"/>
        <v>Sat</v>
      </c>
      <c r="W7" s="23" t="str">
        <f t="shared" si="0"/>
        <v>Sun</v>
      </c>
      <c r="X7" s="23" t="str">
        <f t="shared" si="0"/>
        <v>Mon</v>
      </c>
      <c r="Y7" s="23" t="str">
        <f t="shared" si="0"/>
        <v>Tue</v>
      </c>
      <c r="Z7" s="23" t="str">
        <f t="shared" si="0"/>
        <v>Wed</v>
      </c>
      <c r="AA7" s="23" t="str">
        <f t="shared" si="0"/>
        <v>Thu</v>
      </c>
      <c r="AB7" s="23" t="str">
        <f t="shared" si="0"/>
        <v>Fri</v>
      </c>
      <c r="AC7" s="23" t="str">
        <f t="shared" si="0"/>
        <v>Sat</v>
      </c>
      <c r="AD7" s="23" t="str">
        <f t="shared" si="0"/>
        <v>Sun</v>
      </c>
      <c r="AE7" s="23" t="str">
        <f t="shared" si="0"/>
        <v>Mon</v>
      </c>
      <c r="AF7" s="23" t="str">
        <f t="shared" si="0"/>
        <v>Tue</v>
      </c>
      <c r="AG7" s="23" t="str">
        <f t="shared" si="0"/>
        <v>Wed</v>
      </c>
      <c r="AH7" s="23" t="str">
        <f t="shared" si="0"/>
        <v>Thu</v>
      </c>
      <c r="AI7" s="23" t="str">
        <f t="shared" si="0"/>
        <v>Fri</v>
      </c>
      <c r="AJ7" s="23" t="str">
        <f>TEXT(AJ8,"DDD")</f>
        <v>Sat</v>
      </c>
      <c r="AK7" s="23" t="str">
        <f>TEXT(AK8,"DDD")</f>
        <v>Sun</v>
      </c>
      <c r="AL7" s="23" t="str">
        <f t="shared" ref="AL7:AN7" si="1">TEXT(AL8,"DDD")</f>
        <v>Mon</v>
      </c>
      <c r="AM7" s="23" t="str">
        <f t="shared" si="1"/>
        <v>Tue</v>
      </c>
      <c r="AN7" s="24" t="str">
        <f t="shared" si="1"/>
        <v/>
      </c>
      <c r="AO7" s="32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1"/>
      <c r="BH7" s="31"/>
      <c r="BI7" s="31"/>
      <c r="BJ7" s="31"/>
    </row>
    <row r="8" spans="1:62" ht="18.600000000000001" thickBot="1" x14ac:dyDescent="0.4">
      <c r="C8" s="31"/>
      <c r="D8" s="31"/>
      <c r="E8" s="32"/>
      <c r="F8" s="12" t="s">
        <v>23</v>
      </c>
      <c r="G8" s="13" t="s">
        <v>2</v>
      </c>
      <c r="H8" s="14" t="s">
        <v>24</v>
      </c>
      <c r="I8" s="25" t="s">
        <v>25</v>
      </c>
      <c r="J8" s="26">
        <f>G5</f>
        <v>45901</v>
      </c>
      <c r="K8" s="26">
        <f>IF(J8&lt;$J$5,J8+1,"")</f>
        <v>45902</v>
      </c>
      <c r="L8" s="26">
        <f t="shared" ref="L8:AN8" si="2">IF(K8&lt;$J$5,K8+1,"")</f>
        <v>45903</v>
      </c>
      <c r="M8" s="26">
        <f t="shared" si="2"/>
        <v>45904</v>
      </c>
      <c r="N8" s="26">
        <f t="shared" si="2"/>
        <v>45905</v>
      </c>
      <c r="O8" s="26">
        <f t="shared" si="2"/>
        <v>45906</v>
      </c>
      <c r="P8" s="26">
        <f t="shared" si="2"/>
        <v>45907</v>
      </c>
      <c r="Q8" s="26">
        <f t="shared" si="2"/>
        <v>45908</v>
      </c>
      <c r="R8" s="26">
        <f t="shared" si="2"/>
        <v>45909</v>
      </c>
      <c r="S8" s="26">
        <f t="shared" si="2"/>
        <v>45910</v>
      </c>
      <c r="T8" s="26">
        <f t="shared" si="2"/>
        <v>45911</v>
      </c>
      <c r="U8" s="26">
        <f t="shared" si="2"/>
        <v>45912</v>
      </c>
      <c r="V8" s="26">
        <f t="shared" si="2"/>
        <v>45913</v>
      </c>
      <c r="W8" s="26">
        <f t="shared" si="2"/>
        <v>45914</v>
      </c>
      <c r="X8" s="26">
        <f t="shared" si="2"/>
        <v>45915</v>
      </c>
      <c r="Y8" s="26">
        <f t="shared" si="2"/>
        <v>45916</v>
      </c>
      <c r="Z8" s="26">
        <f t="shared" si="2"/>
        <v>45917</v>
      </c>
      <c r="AA8" s="26">
        <f t="shared" si="2"/>
        <v>45918</v>
      </c>
      <c r="AB8" s="26">
        <f t="shared" si="2"/>
        <v>45919</v>
      </c>
      <c r="AC8" s="26">
        <f t="shared" si="2"/>
        <v>45920</v>
      </c>
      <c r="AD8" s="26">
        <f t="shared" si="2"/>
        <v>45921</v>
      </c>
      <c r="AE8" s="26">
        <f t="shared" si="2"/>
        <v>45922</v>
      </c>
      <c r="AF8" s="26">
        <f t="shared" si="2"/>
        <v>45923</v>
      </c>
      <c r="AG8" s="26">
        <f t="shared" si="2"/>
        <v>45924</v>
      </c>
      <c r="AH8" s="26">
        <f t="shared" si="2"/>
        <v>45925</v>
      </c>
      <c r="AI8" s="26">
        <f t="shared" si="2"/>
        <v>45926</v>
      </c>
      <c r="AJ8" s="26">
        <f t="shared" si="2"/>
        <v>45927</v>
      </c>
      <c r="AK8" s="26">
        <f t="shared" si="2"/>
        <v>45928</v>
      </c>
      <c r="AL8" s="26">
        <f t="shared" si="2"/>
        <v>45929</v>
      </c>
      <c r="AM8" s="26">
        <f t="shared" si="2"/>
        <v>45930</v>
      </c>
      <c r="AN8" s="27" t="str">
        <f t="shared" si="2"/>
        <v/>
      </c>
      <c r="AO8" s="32"/>
      <c r="AP8" s="34"/>
      <c r="AQ8" s="38" t="s">
        <v>23</v>
      </c>
      <c r="AR8" s="38" t="s">
        <v>2</v>
      </c>
      <c r="AS8" s="38" t="s">
        <v>42</v>
      </c>
      <c r="AT8" s="39" t="s">
        <v>24</v>
      </c>
      <c r="AU8" s="40" t="s">
        <v>30</v>
      </c>
      <c r="AV8" s="38" t="s">
        <v>31</v>
      </c>
      <c r="AW8" s="38" t="s">
        <v>32</v>
      </c>
      <c r="AX8" s="38" t="s">
        <v>25</v>
      </c>
      <c r="AY8" s="38" t="s">
        <v>28</v>
      </c>
      <c r="AZ8" s="38" t="s">
        <v>33</v>
      </c>
      <c r="BA8" s="38" t="s">
        <v>34</v>
      </c>
      <c r="BB8" s="38" t="s">
        <v>35</v>
      </c>
      <c r="BC8" s="40" t="s">
        <v>36</v>
      </c>
      <c r="BD8" s="38" t="s">
        <v>37</v>
      </c>
      <c r="BE8" s="38" t="s">
        <v>41</v>
      </c>
      <c r="BF8" s="34"/>
      <c r="BG8" s="31"/>
      <c r="BH8" s="31"/>
      <c r="BI8" s="31"/>
      <c r="BJ8" s="31"/>
    </row>
    <row r="9" spans="1:62" x14ac:dyDescent="0.3">
      <c r="C9" s="31"/>
      <c r="D9" s="31"/>
      <c r="E9" s="32"/>
      <c r="F9" s="8">
        <v>1</v>
      </c>
      <c r="G9" s="9">
        <v>1001</v>
      </c>
      <c r="H9" s="15" t="s">
        <v>3</v>
      </c>
      <c r="I9" s="17">
        <f>COUNTIF($J$7:$AN$7,"Sun")</f>
        <v>4</v>
      </c>
      <c r="J9" s="18" t="s">
        <v>38</v>
      </c>
      <c r="K9" s="18" t="s">
        <v>38</v>
      </c>
      <c r="L9" s="18" t="s">
        <v>38</v>
      </c>
      <c r="M9" s="18" t="s">
        <v>38</v>
      </c>
      <c r="N9" s="18" t="s">
        <v>38</v>
      </c>
      <c r="O9" s="18" t="s">
        <v>38</v>
      </c>
      <c r="P9" s="18" t="str">
        <f t="shared" ref="P9:AN17" si="3">IF(P$7="Sun","WO","")</f>
        <v>WO</v>
      </c>
      <c r="Q9" s="18" t="s">
        <v>38</v>
      </c>
      <c r="R9" s="18" t="s">
        <v>38</v>
      </c>
      <c r="S9" s="18" t="s">
        <v>38</v>
      </c>
      <c r="T9" s="18" t="s">
        <v>38</v>
      </c>
      <c r="U9" s="18" t="s">
        <v>38</v>
      </c>
      <c r="V9" s="18" t="s">
        <v>38</v>
      </c>
      <c r="W9" s="18" t="str">
        <f t="shared" si="3"/>
        <v>WO</v>
      </c>
      <c r="X9" s="18" t="s">
        <v>38</v>
      </c>
      <c r="Y9" s="18" t="s">
        <v>38</v>
      </c>
      <c r="Z9" s="18" t="s">
        <v>38</v>
      </c>
      <c r="AA9" s="18" t="s">
        <v>38</v>
      </c>
      <c r="AB9" s="18" t="s">
        <v>38</v>
      </c>
      <c r="AC9" s="18" t="s">
        <v>38</v>
      </c>
      <c r="AD9" s="18" t="str">
        <f t="shared" si="3"/>
        <v>WO</v>
      </c>
      <c r="AE9" s="18" t="s">
        <v>38</v>
      </c>
      <c r="AF9" s="18" t="s">
        <v>38</v>
      </c>
      <c r="AG9" s="18" t="s">
        <v>38</v>
      </c>
      <c r="AH9" s="18" t="s">
        <v>38</v>
      </c>
      <c r="AI9" s="18" t="s">
        <v>38</v>
      </c>
      <c r="AJ9" s="18" t="s">
        <v>38</v>
      </c>
      <c r="AK9" s="18" t="str">
        <f t="shared" si="3"/>
        <v>WO</v>
      </c>
      <c r="AL9" s="18" t="s">
        <v>38</v>
      </c>
      <c r="AM9" s="18" t="s">
        <v>38</v>
      </c>
      <c r="AN9" s="19" t="str">
        <f t="shared" si="3"/>
        <v/>
      </c>
      <c r="AO9" s="32"/>
      <c r="AP9" s="34"/>
      <c r="AQ9" s="9">
        <v>1</v>
      </c>
      <c r="AR9" s="9">
        <v>1001</v>
      </c>
      <c r="AS9" s="9" t="str">
        <f>$E$5</f>
        <v>September</v>
      </c>
      <c r="AT9" s="15" t="s">
        <v>3</v>
      </c>
      <c r="AU9" s="28">
        <f t="shared" ref="AU9:AU28" si="4">COUNTIF($J9:$AN9,"P")</f>
        <v>26</v>
      </c>
      <c r="AV9">
        <f t="shared" ref="AV9:AV28" si="5">COUNTIF($J9:$AN9,"A")</f>
        <v>0</v>
      </c>
      <c r="AW9">
        <f t="shared" ref="AW9:AW28" si="6">COUNTIF($J9:$AN9,"L")</f>
        <v>0</v>
      </c>
      <c r="AX9">
        <f>$I$9</f>
        <v>4</v>
      </c>
      <c r="AY9" s="29">
        <f>$H$5</f>
        <v>30</v>
      </c>
      <c r="AZ9" s="29">
        <f>AY9-AV9</f>
        <v>30</v>
      </c>
      <c r="BA9" s="30">
        <f ca="1">RANDBETWEEN(10000,50000)</f>
        <v>41283</v>
      </c>
      <c r="BB9" s="30">
        <f ca="1">BA9/AZ9</f>
        <v>1376.1</v>
      </c>
      <c r="BC9" s="30">
        <f ca="1">BB9*AV9</f>
        <v>0</v>
      </c>
      <c r="BD9" s="30">
        <f ca="1">BA9-BC9</f>
        <v>41283</v>
      </c>
      <c r="BF9" s="34"/>
      <c r="BG9" s="31"/>
      <c r="BH9" s="31"/>
      <c r="BI9" s="31"/>
      <c r="BJ9" s="31"/>
    </row>
    <row r="10" spans="1:62" x14ac:dyDescent="0.3">
      <c r="C10" s="31"/>
      <c r="D10" s="31"/>
      <c r="E10" s="32"/>
      <c r="F10" s="8">
        <v>2</v>
      </c>
      <c r="G10" s="9">
        <v>1002</v>
      </c>
      <c r="H10" s="15" t="s">
        <v>4</v>
      </c>
      <c r="I10" s="17">
        <f t="shared" ref="I10:I28" si="7">COUNTIF($J$7:$AN$7,"Sun")</f>
        <v>4</v>
      </c>
      <c r="J10" s="18" t="s">
        <v>38</v>
      </c>
      <c r="K10" s="18" t="s">
        <v>38</v>
      </c>
      <c r="L10" s="18" t="s">
        <v>39</v>
      </c>
      <c r="M10" s="18" t="s">
        <v>38</v>
      </c>
      <c r="N10" s="18" t="s">
        <v>38</v>
      </c>
      <c r="O10" s="18" t="s">
        <v>38</v>
      </c>
      <c r="P10" s="18" t="str">
        <f t="shared" si="3"/>
        <v>WO</v>
      </c>
      <c r="Q10" s="18" t="s">
        <v>38</v>
      </c>
      <c r="R10" s="18" t="s">
        <v>38</v>
      </c>
      <c r="S10" s="18" t="s">
        <v>39</v>
      </c>
      <c r="T10" s="18" t="s">
        <v>38</v>
      </c>
      <c r="U10" s="18" t="s">
        <v>38</v>
      </c>
      <c r="V10" s="18" t="s">
        <v>38</v>
      </c>
      <c r="W10" s="18" t="str">
        <f t="shared" si="3"/>
        <v>WO</v>
      </c>
      <c r="X10" s="18" t="s">
        <v>38</v>
      </c>
      <c r="Y10" s="18" t="s">
        <v>38</v>
      </c>
      <c r="Z10" s="18" t="s">
        <v>39</v>
      </c>
      <c r="AA10" s="18" t="s">
        <v>38</v>
      </c>
      <c r="AB10" s="18" t="s">
        <v>38</v>
      </c>
      <c r="AC10" s="18" t="s">
        <v>38</v>
      </c>
      <c r="AD10" s="18" t="str">
        <f t="shared" si="3"/>
        <v>WO</v>
      </c>
      <c r="AE10" s="18" t="s">
        <v>38</v>
      </c>
      <c r="AF10" s="18" t="s">
        <v>38</v>
      </c>
      <c r="AG10" s="18" t="s">
        <v>39</v>
      </c>
      <c r="AH10" s="18" t="s">
        <v>38</v>
      </c>
      <c r="AI10" s="18" t="s">
        <v>38</v>
      </c>
      <c r="AJ10" s="18" t="s">
        <v>38</v>
      </c>
      <c r="AK10" s="18" t="str">
        <f t="shared" si="3"/>
        <v>WO</v>
      </c>
      <c r="AL10" s="18" t="s">
        <v>38</v>
      </c>
      <c r="AM10" s="18" t="s">
        <v>38</v>
      </c>
      <c r="AN10" s="19" t="str">
        <f t="shared" si="3"/>
        <v/>
      </c>
      <c r="AO10" s="32"/>
      <c r="AP10" s="34"/>
      <c r="AQ10" s="9">
        <v>2</v>
      </c>
      <c r="AR10" s="9">
        <v>1002</v>
      </c>
      <c r="AS10" s="9" t="str">
        <f t="shared" ref="AS10:AS28" si="8">$E$5</f>
        <v>September</v>
      </c>
      <c r="AT10" s="15" t="s">
        <v>4</v>
      </c>
      <c r="AU10" s="28">
        <f t="shared" si="4"/>
        <v>22</v>
      </c>
      <c r="AV10">
        <f t="shared" si="5"/>
        <v>4</v>
      </c>
      <c r="AW10">
        <f t="shared" si="6"/>
        <v>0</v>
      </c>
      <c r="AX10">
        <f t="shared" ref="AX10:AX28" si="9">$I$9</f>
        <v>4</v>
      </c>
      <c r="AY10" s="29">
        <f t="shared" ref="AY10:AY28" si="10">$H$5</f>
        <v>30</v>
      </c>
      <c r="AZ10" s="29">
        <f t="shared" ref="AZ10:AZ28" si="11">AY10-AV10</f>
        <v>26</v>
      </c>
      <c r="BA10" s="30">
        <f t="shared" ref="BA10:BA28" ca="1" si="12">RANDBETWEEN(10000,50000)</f>
        <v>12301</v>
      </c>
      <c r="BB10" s="30">
        <f t="shared" ref="BB10:BB28" ca="1" si="13">BA10/AZ10</f>
        <v>473.11538461538464</v>
      </c>
      <c r="BC10" s="30">
        <f t="shared" ref="BC10:BC28" ca="1" si="14">BB10*AV10</f>
        <v>1892.4615384615386</v>
      </c>
      <c r="BD10" s="30">
        <f t="shared" ref="BD10:BD28" ca="1" si="15">BA10-BC10</f>
        <v>10408.538461538461</v>
      </c>
      <c r="BF10" s="34"/>
      <c r="BG10" s="31"/>
      <c r="BH10" s="31"/>
      <c r="BI10" s="31"/>
      <c r="BJ10" s="31"/>
    </row>
    <row r="11" spans="1:62" x14ac:dyDescent="0.3">
      <c r="C11" s="31"/>
      <c r="D11" s="31"/>
      <c r="E11" s="32"/>
      <c r="F11" s="8">
        <v>3</v>
      </c>
      <c r="G11" s="9">
        <v>1003</v>
      </c>
      <c r="H11" s="15" t="s">
        <v>5</v>
      </c>
      <c r="I11" s="17">
        <f t="shared" si="7"/>
        <v>4</v>
      </c>
      <c r="J11" s="18" t="s">
        <v>38</v>
      </c>
      <c r="K11" s="18" t="s">
        <v>39</v>
      </c>
      <c r="L11" s="18" t="s">
        <v>38</v>
      </c>
      <c r="M11" s="18" t="s">
        <v>38</v>
      </c>
      <c r="N11" s="18" t="s">
        <v>39</v>
      </c>
      <c r="O11" s="18" t="s">
        <v>39</v>
      </c>
      <c r="P11" s="18" t="str">
        <f t="shared" si="3"/>
        <v>WO</v>
      </c>
      <c r="Q11" s="18" t="s">
        <v>38</v>
      </c>
      <c r="R11" s="18" t="s">
        <v>39</v>
      </c>
      <c r="S11" s="18" t="s">
        <v>38</v>
      </c>
      <c r="T11" s="18" t="s">
        <v>38</v>
      </c>
      <c r="U11" s="18" t="s">
        <v>39</v>
      </c>
      <c r="V11" s="18" t="s">
        <v>39</v>
      </c>
      <c r="W11" s="18" t="str">
        <f t="shared" si="3"/>
        <v>WO</v>
      </c>
      <c r="X11" s="18" t="s">
        <v>38</v>
      </c>
      <c r="Y11" s="18" t="s">
        <v>38</v>
      </c>
      <c r="Z11" s="18" t="s">
        <v>38</v>
      </c>
      <c r="AA11" s="18" t="s">
        <v>38</v>
      </c>
      <c r="AB11" s="18" t="s">
        <v>38</v>
      </c>
      <c r="AC11" s="18" t="s">
        <v>39</v>
      </c>
      <c r="AD11" s="18" t="str">
        <f t="shared" si="3"/>
        <v>WO</v>
      </c>
      <c r="AE11" s="18" t="s">
        <v>38</v>
      </c>
      <c r="AF11" s="18" t="s">
        <v>38</v>
      </c>
      <c r="AG11" s="18" t="s">
        <v>38</v>
      </c>
      <c r="AH11" s="18" t="s">
        <v>38</v>
      </c>
      <c r="AI11" s="18" t="s">
        <v>39</v>
      </c>
      <c r="AJ11" s="18" t="s">
        <v>39</v>
      </c>
      <c r="AK11" s="18" t="str">
        <f t="shared" si="3"/>
        <v>WO</v>
      </c>
      <c r="AL11" s="18" t="s">
        <v>39</v>
      </c>
      <c r="AM11" s="18" t="s">
        <v>38</v>
      </c>
      <c r="AN11" s="19" t="str">
        <f t="shared" si="3"/>
        <v/>
      </c>
      <c r="AO11" s="32"/>
      <c r="AP11" s="34"/>
      <c r="AQ11" s="9">
        <v>3</v>
      </c>
      <c r="AR11" s="9">
        <v>1003</v>
      </c>
      <c r="AS11" s="9" t="str">
        <f t="shared" si="8"/>
        <v>September</v>
      </c>
      <c r="AT11" s="15" t="s">
        <v>5</v>
      </c>
      <c r="AU11" s="28">
        <f t="shared" si="4"/>
        <v>16</v>
      </c>
      <c r="AV11">
        <f t="shared" si="5"/>
        <v>10</v>
      </c>
      <c r="AW11">
        <f t="shared" si="6"/>
        <v>0</v>
      </c>
      <c r="AX11">
        <f t="shared" si="9"/>
        <v>4</v>
      </c>
      <c r="AY11" s="29">
        <f t="shared" si="10"/>
        <v>30</v>
      </c>
      <c r="AZ11" s="29">
        <f t="shared" si="11"/>
        <v>20</v>
      </c>
      <c r="BA11" s="30">
        <f t="shared" ca="1" si="12"/>
        <v>40009</v>
      </c>
      <c r="BB11" s="30">
        <f t="shared" ca="1" si="13"/>
        <v>2000.45</v>
      </c>
      <c r="BC11" s="30">
        <f t="shared" ca="1" si="14"/>
        <v>20004.5</v>
      </c>
      <c r="BD11" s="30">
        <f t="shared" ca="1" si="15"/>
        <v>20004.5</v>
      </c>
      <c r="BF11" s="34"/>
      <c r="BG11" s="31"/>
      <c r="BH11" s="31"/>
      <c r="BI11" s="31"/>
      <c r="BJ11" s="31"/>
    </row>
    <row r="12" spans="1:62" x14ac:dyDescent="0.3">
      <c r="C12" s="31"/>
      <c r="D12" s="31"/>
      <c r="E12" s="32"/>
      <c r="F12" s="8">
        <v>4</v>
      </c>
      <c r="G12" s="9">
        <v>1004</v>
      </c>
      <c r="H12" s="15" t="s">
        <v>6</v>
      </c>
      <c r="I12" s="17">
        <f t="shared" si="7"/>
        <v>4</v>
      </c>
      <c r="J12" s="18" t="s">
        <v>38</v>
      </c>
      <c r="K12" s="18" t="s">
        <v>39</v>
      </c>
      <c r="L12" s="18" t="s">
        <v>38</v>
      </c>
      <c r="M12" s="18" t="s">
        <v>38</v>
      </c>
      <c r="N12" s="18" t="s">
        <v>38</v>
      </c>
      <c r="O12" s="18" t="s">
        <v>38</v>
      </c>
      <c r="P12" s="18" t="str">
        <f t="shared" si="3"/>
        <v>WO</v>
      </c>
      <c r="Q12" s="18" t="s">
        <v>38</v>
      </c>
      <c r="R12" s="18" t="s">
        <v>39</v>
      </c>
      <c r="S12" s="18" t="s">
        <v>38</v>
      </c>
      <c r="T12" s="18" t="s">
        <v>38</v>
      </c>
      <c r="U12" s="18" t="s">
        <v>38</v>
      </c>
      <c r="V12" s="18" t="s">
        <v>38</v>
      </c>
      <c r="W12" s="18" t="str">
        <f t="shared" si="3"/>
        <v>WO</v>
      </c>
      <c r="X12" s="18" t="s">
        <v>38</v>
      </c>
      <c r="Y12" s="18" t="s">
        <v>38</v>
      </c>
      <c r="Z12" s="18" t="s">
        <v>38</v>
      </c>
      <c r="AA12" s="18" t="s">
        <v>38</v>
      </c>
      <c r="AB12" s="18" t="s">
        <v>38</v>
      </c>
      <c r="AC12" s="18" t="s">
        <v>38</v>
      </c>
      <c r="AD12" s="18" t="str">
        <f t="shared" si="3"/>
        <v>WO</v>
      </c>
      <c r="AE12" s="18" t="s">
        <v>38</v>
      </c>
      <c r="AF12" s="18" t="s">
        <v>38</v>
      </c>
      <c r="AG12" s="18" t="s">
        <v>38</v>
      </c>
      <c r="AH12" s="18" t="s">
        <v>38</v>
      </c>
      <c r="AI12" s="18" t="s">
        <v>38</v>
      </c>
      <c r="AJ12" s="18" t="s">
        <v>38</v>
      </c>
      <c r="AK12" s="18" t="str">
        <f t="shared" si="3"/>
        <v>WO</v>
      </c>
      <c r="AL12" s="18" t="s">
        <v>38</v>
      </c>
      <c r="AM12" s="18" t="s">
        <v>38</v>
      </c>
      <c r="AN12" s="19" t="str">
        <f t="shared" si="3"/>
        <v/>
      </c>
      <c r="AO12" s="32"/>
      <c r="AP12" s="34"/>
      <c r="AQ12" s="9">
        <v>4</v>
      </c>
      <c r="AR12" s="9">
        <v>1004</v>
      </c>
      <c r="AS12" s="9" t="str">
        <f t="shared" si="8"/>
        <v>September</v>
      </c>
      <c r="AT12" s="15" t="s">
        <v>6</v>
      </c>
      <c r="AU12" s="28">
        <f t="shared" si="4"/>
        <v>24</v>
      </c>
      <c r="AV12">
        <f t="shared" si="5"/>
        <v>2</v>
      </c>
      <c r="AW12">
        <f t="shared" si="6"/>
        <v>0</v>
      </c>
      <c r="AX12">
        <f t="shared" si="9"/>
        <v>4</v>
      </c>
      <c r="AY12" s="29">
        <f t="shared" si="10"/>
        <v>30</v>
      </c>
      <c r="AZ12" s="29">
        <f t="shared" si="11"/>
        <v>28</v>
      </c>
      <c r="BA12" s="30">
        <f t="shared" ca="1" si="12"/>
        <v>31379</v>
      </c>
      <c r="BB12" s="30">
        <f t="shared" ca="1" si="13"/>
        <v>1120.6785714285713</v>
      </c>
      <c r="BC12" s="30">
        <f t="shared" ca="1" si="14"/>
        <v>2241.3571428571427</v>
      </c>
      <c r="BD12" s="30">
        <f t="shared" ca="1" si="15"/>
        <v>29137.642857142859</v>
      </c>
      <c r="BF12" s="34"/>
      <c r="BG12" s="31"/>
      <c r="BH12" s="31"/>
      <c r="BI12" s="31"/>
      <c r="BJ12" s="31"/>
    </row>
    <row r="13" spans="1:62" x14ac:dyDescent="0.3">
      <c r="C13" s="31"/>
      <c r="D13" s="31"/>
      <c r="E13" s="32"/>
      <c r="F13" s="8">
        <v>5</v>
      </c>
      <c r="G13" s="9">
        <v>1005</v>
      </c>
      <c r="H13" s="15" t="s">
        <v>7</v>
      </c>
      <c r="I13" s="17">
        <f t="shared" si="7"/>
        <v>4</v>
      </c>
      <c r="J13" s="18" t="s">
        <v>38</v>
      </c>
      <c r="K13" s="18" t="s">
        <v>38</v>
      </c>
      <c r="L13" s="18" t="s">
        <v>39</v>
      </c>
      <c r="M13" s="18" t="s">
        <v>38</v>
      </c>
      <c r="N13" s="18" t="s">
        <v>39</v>
      </c>
      <c r="O13" s="18" t="s">
        <v>39</v>
      </c>
      <c r="P13" s="18" t="str">
        <f t="shared" si="3"/>
        <v>WO</v>
      </c>
      <c r="Q13" s="18" t="s">
        <v>38</v>
      </c>
      <c r="R13" s="18" t="s">
        <v>38</v>
      </c>
      <c r="S13" s="18" t="s">
        <v>39</v>
      </c>
      <c r="T13" s="18" t="s">
        <v>38</v>
      </c>
      <c r="U13" s="18" t="s">
        <v>39</v>
      </c>
      <c r="V13" s="18" t="s">
        <v>39</v>
      </c>
      <c r="W13" s="18" t="str">
        <f t="shared" si="3"/>
        <v>WO</v>
      </c>
      <c r="X13" s="18" t="s">
        <v>38</v>
      </c>
      <c r="Y13" s="18" t="s">
        <v>38</v>
      </c>
      <c r="Z13" s="18" t="s">
        <v>39</v>
      </c>
      <c r="AA13" s="18" t="s">
        <v>38</v>
      </c>
      <c r="AB13" s="18" t="s">
        <v>38</v>
      </c>
      <c r="AC13" s="18" t="s">
        <v>39</v>
      </c>
      <c r="AD13" s="18" t="str">
        <f t="shared" si="3"/>
        <v>WO</v>
      </c>
      <c r="AE13" s="18" t="s">
        <v>38</v>
      </c>
      <c r="AF13" s="18" t="s">
        <v>38</v>
      </c>
      <c r="AG13" s="18" t="s">
        <v>38</v>
      </c>
      <c r="AH13" s="18" t="s">
        <v>38</v>
      </c>
      <c r="AI13" s="18" t="s">
        <v>38</v>
      </c>
      <c r="AJ13" s="18" t="s">
        <v>39</v>
      </c>
      <c r="AK13" s="18" t="str">
        <f t="shared" si="3"/>
        <v>WO</v>
      </c>
      <c r="AL13" s="18" t="s">
        <v>39</v>
      </c>
      <c r="AM13" s="18" t="s">
        <v>38</v>
      </c>
      <c r="AN13" s="19" t="str">
        <f t="shared" si="3"/>
        <v/>
      </c>
      <c r="AO13" s="32"/>
      <c r="AP13" s="34"/>
      <c r="AQ13" s="9">
        <v>5</v>
      </c>
      <c r="AR13" s="9">
        <v>1005</v>
      </c>
      <c r="AS13" s="9" t="str">
        <f t="shared" si="8"/>
        <v>September</v>
      </c>
      <c r="AT13" s="15" t="s">
        <v>7</v>
      </c>
      <c r="AU13" s="28">
        <f t="shared" si="4"/>
        <v>16</v>
      </c>
      <c r="AV13">
        <f t="shared" si="5"/>
        <v>10</v>
      </c>
      <c r="AW13">
        <f t="shared" si="6"/>
        <v>0</v>
      </c>
      <c r="AX13">
        <f t="shared" si="9"/>
        <v>4</v>
      </c>
      <c r="AY13" s="29">
        <f t="shared" si="10"/>
        <v>30</v>
      </c>
      <c r="AZ13" s="29">
        <f t="shared" si="11"/>
        <v>20</v>
      </c>
      <c r="BA13" s="30">
        <f t="shared" ca="1" si="12"/>
        <v>14610</v>
      </c>
      <c r="BB13" s="30">
        <f t="shared" ca="1" si="13"/>
        <v>730.5</v>
      </c>
      <c r="BC13" s="30">
        <f t="shared" ca="1" si="14"/>
        <v>7305</v>
      </c>
      <c r="BD13" s="30">
        <f t="shared" ca="1" si="15"/>
        <v>7305</v>
      </c>
      <c r="BF13" s="34"/>
      <c r="BG13" s="31"/>
      <c r="BH13" s="31"/>
      <c r="BI13" s="31"/>
      <c r="BJ13" s="31"/>
    </row>
    <row r="14" spans="1:62" x14ac:dyDescent="0.3">
      <c r="C14" s="31"/>
      <c r="D14" s="31"/>
      <c r="E14" s="32"/>
      <c r="F14" s="8">
        <v>6</v>
      </c>
      <c r="G14" s="9">
        <v>1006</v>
      </c>
      <c r="H14" s="15" t="s">
        <v>8</v>
      </c>
      <c r="I14" s="17">
        <f t="shared" si="7"/>
        <v>4</v>
      </c>
      <c r="J14" s="18" t="s">
        <v>38</v>
      </c>
      <c r="K14" s="18" t="s">
        <v>38</v>
      </c>
      <c r="L14" s="18" t="s">
        <v>39</v>
      </c>
      <c r="M14" s="18" t="s">
        <v>38</v>
      </c>
      <c r="N14" s="18" t="s">
        <v>38</v>
      </c>
      <c r="O14" s="18" t="s">
        <v>38</v>
      </c>
      <c r="P14" s="18" t="str">
        <f t="shared" si="3"/>
        <v>WO</v>
      </c>
      <c r="Q14" s="18" t="s">
        <v>38</v>
      </c>
      <c r="R14" s="18" t="s">
        <v>38</v>
      </c>
      <c r="S14" s="18" t="s">
        <v>39</v>
      </c>
      <c r="T14" s="18" t="s">
        <v>38</v>
      </c>
      <c r="U14" s="18" t="s">
        <v>38</v>
      </c>
      <c r="V14" s="18" t="s">
        <v>38</v>
      </c>
      <c r="W14" s="18" t="str">
        <f t="shared" si="3"/>
        <v>WO</v>
      </c>
      <c r="X14" s="18" t="s">
        <v>38</v>
      </c>
      <c r="Y14" s="18" t="s">
        <v>38</v>
      </c>
      <c r="Z14" s="18" t="s">
        <v>39</v>
      </c>
      <c r="AA14" s="18" t="s">
        <v>38</v>
      </c>
      <c r="AB14" s="18" t="s">
        <v>38</v>
      </c>
      <c r="AC14" s="18" t="s">
        <v>38</v>
      </c>
      <c r="AD14" s="18" t="str">
        <f t="shared" si="3"/>
        <v>WO</v>
      </c>
      <c r="AE14" s="18" t="s">
        <v>38</v>
      </c>
      <c r="AF14" s="18" t="s">
        <v>38</v>
      </c>
      <c r="AG14" s="18" t="s">
        <v>39</v>
      </c>
      <c r="AH14" s="18" t="s">
        <v>38</v>
      </c>
      <c r="AI14" s="18" t="s">
        <v>38</v>
      </c>
      <c r="AJ14" s="18" t="s">
        <v>38</v>
      </c>
      <c r="AK14" s="18" t="str">
        <f t="shared" si="3"/>
        <v>WO</v>
      </c>
      <c r="AL14" s="18" t="s">
        <v>38</v>
      </c>
      <c r="AM14" s="18" t="s">
        <v>38</v>
      </c>
      <c r="AN14" s="19" t="str">
        <f t="shared" si="3"/>
        <v/>
      </c>
      <c r="AO14" s="32"/>
      <c r="AP14" s="34"/>
      <c r="AQ14" s="9">
        <v>6</v>
      </c>
      <c r="AR14" s="9">
        <v>1006</v>
      </c>
      <c r="AS14" s="9" t="str">
        <f t="shared" si="8"/>
        <v>September</v>
      </c>
      <c r="AT14" s="15" t="s">
        <v>8</v>
      </c>
      <c r="AU14" s="28">
        <f t="shared" si="4"/>
        <v>22</v>
      </c>
      <c r="AV14">
        <f t="shared" si="5"/>
        <v>4</v>
      </c>
      <c r="AW14">
        <f t="shared" si="6"/>
        <v>0</v>
      </c>
      <c r="AX14">
        <f t="shared" si="9"/>
        <v>4</v>
      </c>
      <c r="AY14" s="29">
        <f t="shared" si="10"/>
        <v>30</v>
      </c>
      <c r="AZ14" s="29">
        <f t="shared" si="11"/>
        <v>26</v>
      </c>
      <c r="BA14" s="30">
        <f t="shared" ca="1" si="12"/>
        <v>44617</v>
      </c>
      <c r="BB14" s="30">
        <f t="shared" ca="1" si="13"/>
        <v>1716.0384615384614</v>
      </c>
      <c r="BC14" s="30">
        <f t="shared" ca="1" si="14"/>
        <v>6864.1538461538457</v>
      </c>
      <c r="BD14" s="30">
        <f t="shared" ca="1" si="15"/>
        <v>37752.846153846156</v>
      </c>
      <c r="BF14" s="34"/>
      <c r="BG14" s="31"/>
      <c r="BH14" s="31"/>
      <c r="BI14" s="31"/>
      <c r="BJ14" s="31"/>
    </row>
    <row r="15" spans="1:62" x14ac:dyDescent="0.3">
      <c r="C15" s="31"/>
      <c r="D15" s="31"/>
      <c r="E15" s="32"/>
      <c r="F15" s="8">
        <v>7</v>
      </c>
      <c r="G15" s="9">
        <v>1007</v>
      </c>
      <c r="H15" s="15" t="s">
        <v>9</v>
      </c>
      <c r="I15" s="17">
        <f t="shared" si="7"/>
        <v>4</v>
      </c>
      <c r="J15" s="18" t="s">
        <v>38</v>
      </c>
      <c r="K15" s="18" t="s">
        <v>38</v>
      </c>
      <c r="L15" s="18" t="s">
        <v>38</v>
      </c>
      <c r="M15" s="18" t="s">
        <v>38</v>
      </c>
      <c r="N15" s="18" t="s">
        <v>38</v>
      </c>
      <c r="O15" s="18" t="s">
        <v>38</v>
      </c>
      <c r="P15" s="18" t="str">
        <f t="shared" si="3"/>
        <v>WO</v>
      </c>
      <c r="Q15" s="18" t="s">
        <v>38</v>
      </c>
      <c r="R15" s="18" t="s">
        <v>38</v>
      </c>
      <c r="S15" s="18" t="s">
        <v>38</v>
      </c>
      <c r="T15" s="18" t="s">
        <v>38</v>
      </c>
      <c r="U15" s="18" t="s">
        <v>38</v>
      </c>
      <c r="V15" s="18" t="s">
        <v>38</v>
      </c>
      <c r="W15" s="18" t="str">
        <f t="shared" si="3"/>
        <v>WO</v>
      </c>
      <c r="X15" s="18" t="s">
        <v>38</v>
      </c>
      <c r="Y15" s="18" t="s">
        <v>38</v>
      </c>
      <c r="Z15" s="18" t="s">
        <v>38</v>
      </c>
      <c r="AA15" s="18" t="s">
        <v>38</v>
      </c>
      <c r="AB15" s="18" t="s">
        <v>38</v>
      </c>
      <c r="AC15" s="18" t="s">
        <v>38</v>
      </c>
      <c r="AD15" s="18" t="str">
        <f t="shared" si="3"/>
        <v>WO</v>
      </c>
      <c r="AE15" s="18" t="s">
        <v>38</v>
      </c>
      <c r="AF15" s="18" t="s">
        <v>38</v>
      </c>
      <c r="AG15" s="18" t="s">
        <v>38</v>
      </c>
      <c r="AH15" s="18" t="s">
        <v>38</v>
      </c>
      <c r="AI15" s="18" t="s">
        <v>38</v>
      </c>
      <c r="AJ15" s="18" t="s">
        <v>38</v>
      </c>
      <c r="AK15" s="18" t="str">
        <f t="shared" si="3"/>
        <v>WO</v>
      </c>
      <c r="AL15" s="18" t="s">
        <v>38</v>
      </c>
      <c r="AM15" s="18" t="s">
        <v>38</v>
      </c>
      <c r="AN15" s="19" t="str">
        <f t="shared" si="3"/>
        <v/>
      </c>
      <c r="AO15" s="32"/>
      <c r="AP15" s="34"/>
      <c r="AQ15" s="9">
        <v>7</v>
      </c>
      <c r="AR15" s="9">
        <v>1007</v>
      </c>
      <c r="AS15" s="9" t="str">
        <f t="shared" si="8"/>
        <v>September</v>
      </c>
      <c r="AT15" s="15" t="s">
        <v>9</v>
      </c>
      <c r="AU15" s="28">
        <f t="shared" si="4"/>
        <v>26</v>
      </c>
      <c r="AV15">
        <f t="shared" si="5"/>
        <v>0</v>
      </c>
      <c r="AW15">
        <f t="shared" si="6"/>
        <v>0</v>
      </c>
      <c r="AX15">
        <f t="shared" si="9"/>
        <v>4</v>
      </c>
      <c r="AY15" s="29">
        <f t="shared" si="10"/>
        <v>30</v>
      </c>
      <c r="AZ15" s="29">
        <f t="shared" si="11"/>
        <v>30</v>
      </c>
      <c r="BA15" s="30">
        <f t="shared" ca="1" si="12"/>
        <v>16170</v>
      </c>
      <c r="BB15" s="30">
        <f t="shared" ca="1" si="13"/>
        <v>539</v>
      </c>
      <c r="BC15" s="30">
        <f t="shared" ca="1" si="14"/>
        <v>0</v>
      </c>
      <c r="BD15" s="30">
        <f t="shared" ca="1" si="15"/>
        <v>16170</v>
      </c>
      <c r="BF15" s="34"/>
      <c r="BG15" s="31"/>
      <c r="BH15" s="31"/>
      <c r="BI15" s="31"/>
      <c r="BJ15" s="31"/>
    </row>
    <row r="16" spans="1:62" x14ac:dyDescent="0.3">
      <c r="C16" s="31"/>
      <c r="D16" s="31"/>
      <c r="E16" s="32"/>
      <c r="F16" s="8">
        <v>8</v>
      </c>
      <c r="G16" s="9">
        <v>1008</v>
      </c>
      <c r="H16" s="15" t="s">
        <v>10</v>
      </c>
      <c r="I16" s="17">
        <f t="shared" si="7"/>
        <v>4</v>
      </c>
      <c r="J16" s="18" t="s">
        <v>38</v>
      </c>
      <c r="K16" s="18" t="s">
        <v>39</v>
      </c>
      <c r="L16" s="18" t="s">
        <v>38</v>
      </c>
      <c r="M16" s="18" t="s">
        <v>38</v>
      </c>
      <c r="N16" s="18" t="s">
        <v>38</v>
      </c>
      <c r="O16" s="18" t="s">
        <v>39</v>
      </c>
      <c r="P16" s="18" t="str">
        <f t="shared" si="3"/>
        <v>WO</v>
      </c>
      <c r="Q16" s="18" t="s">
        <v>38</v>
      </c>
      <c r="R16" s="18" t="s">
        <v>39</v>
      </c>
      <c r="S16" s="18" t="s">
        <v>38</v>
      </c>
      <c r="T16" s="18" t="s">
        <v>38</v>
      </c>
      <c r="U16" s="18" t="s">
        <v>39</v>
      </c>
      <c r="V16" s="18" t="s">
        <v>39</v>
      </c>
      <c r="W16" s="18" t="str">
        <f t="shared" si="3"/>
        <v>WO</v>
      </c>
      <c r="X16" s="18" t="s">
        <v>38</v>
      </c>
      <c r="Y16" s="18" t="s">
        <v>38</v>
      </c>
      <c r="Z16" s="18" t="s">
        <v>38</v>
      </c>
      <c r="AA16" s="18" t="s">
        <v>38</v>
      </c>
      <c r="AB16" s="18" t="s">
        <v>38</v>
      </c>
      <c r="AC16" s="18" t="s">
        <v>38</v>
      </c>
      <c r="AD16" s="18" t="str">
        <f t="shared" si="3"/>
        <v>WO</v>
      </c>
      <c r="AE16" s="18" t="s">
        <v>38</v>
      </c>
      <c r="AF16" s="18" t="s">
        <v>39</v>
      </c>
      <c r="AG16" s="18" t="s">
        <v>38</v>
      </c>
      <c r="AH16" s="18" t="s">
        <v>38</v>
      </c>
      <c r="AI16" s="18" t="s">
        <v>39</v>
      </c>
      <c r="AJ16" s="18" t="s">
        <v>39</v>
      </c>
      <c r="AK16" s="18" t="str">
        <f t="shared" si="3"/>
        <v>WO</v>
      </c>
      <c r="AL16" s="18" t="s">
        <v>39</v>
      </c>
      <c r="AM16" s="18" t="s">
        <v>39</v>
      </c>
      <c r="AN16" s="19" t="str">
        <f t="shared" si="3"/>
        <v/>
      </c>
      <c r="AO16" s="32"/>
      <c r="AP16" s="34"/>
      <c r="AQ16" s="9">
        <v>8</v>
      </c>
      <c r="AR16" s="9">
        <v>1008</v>
      </c>
      <c r="AS16" s="9" t="str">
        <f t="shared" si="8"/>
        <v>September</v>
      </c>
      <c r="AT16" s="15" t="s">
        <v>10</v>
      </c>
      <c r="AU16" s="28">
        <f t="shared" si="4"/>
        <v>16</v>
      </c>
      <c r="AV16">
        <f t="shared" si="5"/>
        <v>10</v>
      </c>
      <c r="AW16">
        <f t="shared" si="6"/>
        <v>0</v>
      </c>
      <c r="AX16">
        <f t="shared" si="9"/>
        <v>4</v>
      </c>
      <c r="AY16" s="29">
        <f t="shared" si="10"/>
        <v>30</v>
      </c>
      <c r="AZ16" s="29">
        <f t="shared" si="11"/>
        <v>20</v>
      </c>
      <c r="BA16" s="30">
        <f t="shared" ca="1" si="12"/>
        <v>40983</v>
      </c>
      <c r="BB16" s="30">
        <f t="shared" ca="1" si="13"/>
        <v>2049.15</v>
      </c>
      <c r="BC16" s="30">
        <f t="shared" ca="1" si="14"/>
        <v>20491.5</v>
      </c>
      <c r="BD16" s="30">
        <f t="shared" ca="1" si="15"/>
        <v>20491.5</v>
      </c>
      <c r="BF16" s="34"/>
      <c r="BG16" s="31"/>
      <c r="BH16" s="31"/>
      <c r="BI16" s="31"/>
      <c r="BJ16" s="31"/>
    </row>
    <row r="17" spans="1:62" x14ac:dyDescent="0.3">
      <c r="C17" s="31"/>
      <c r="D17" s="31"/>
      <c r="E17" s="32"/>
      <c r="F17" s="8">
        <v>9</v>
      </c>
      <c r="G17" s="9">
        <v>1009</v>
      </c>
      <c r="H17" s="15" t="s">
        <v>11</v>
      </c>
      <c r="I17" s="17">
        <f t="shared" si="7"/>
        <v>4</v>
      </c>
      <c r="J17" s="18" t="s">
        <v>38</v>
      </c>
      <c r="K17" s="18" t="s">
        <v>38</v>
      </c>
      <c r="L17" s="18" t="s">
        <v>38</v>
      </c>
      <c r="M17" s="18" t="s">
        <v>38</v>
      </c>
      <c r="N17" s="18" t="s">
        <v>38</v>
      </c>
      <c r="O17" s="18" t="s">
        <v>38</v>
      </c>
      <c r="P17" s="18" t="str">
        <f t="shared" si="3"/>
        <v>WO</v>
      </c>
      <c r="Q17" s="18" t="s">
        <v>38</v>
      </c>
      <c r="R17" s="18" t="s">
        <v>38</v>
      </c>
      <c r="S17" s="18" t="s">
        <v>38</v>
      </c>
      <c r="T17" s="18" t="s">
        <v>38</v>
      </c>
      <c r="U17" s="18" t="s">
        <v>38</v>
      </c>
      <c r="V17" s="18" t="s">
        <v>38</v>
      </c>
      <c r="W17" s="18" t="str">
        <f t="shared" si="3"/>
        <v>WO</v>
      </c>
      <c r="X17" s="18" t="s">
        <v>38</v>
      </c>
      <c r="Y17" s="18" t="s">
        <v>38</v>
      </c>
      <c r="Z17" s="18" t="s">
        <v>38</v>
      </c>
      <c r="AA17" s="18" t="s">
        <v>38</v>
      </c>
      <c r="AB17" s="18" t="s">
        <v>38</v>
      </c>
      <c r="AC17" s="18" t="s">
        <v>38</v>
      </c>
      <c r="AD17" s="18" t="str">
        <f t="shared" ref="AD17:AN28" si="16">IF(AD$7="Sun","WO","")</f>
        <v>WO</v>
      </c>
      <c r="AE17" s="18" t="s">
        <v>38</v>
      </c>
      <c r="AF17" s="18" t="s">
        <v>38</v>
      </c>
      <c r="AG17" s="18" t="s">
        <v>38</v>
      </c>
      <c r="AH17" s="18" t="s">
        <v>38</v>
      </c>
      <c r="AI17" s="18" t="s">
        <v>38</v>
      </c>
      <c r="AJ17" s="18" t="s">
        <v>38</v>
      </c>
      <c r="AK17" s="18" t="str">
        <f t="shared" si="16"/>
        <v>WO</v>
      </c>
      <c r="AL17" s="18" t="s">
        <v>38</v>
      </c>
      <c r="AM17" s="18" t="s">
        <v>38</v>
      </c>
      <c r="AN17" s="19" t="str">
        <f t="shared" si="16"/>
        <v/>
      </c>
      <c r="AO17" s="32"/>
      <c r="AP17" s="34"/>
      <c r="AQ17" s="9">
        <v>9</v>
      </c>
      <c r="AR17" s="9">
        <v>1009</v>
      </c>
      <c r="AS17" s="9" t="str">
        <f t="shared" si="8"/>
        <v>September</v>
      </c>
      <c r="AT17" s="15" t="s">
        <v>11</v>
      </c>
      <c r="AU17" s="28">
        <f t="shared" si="4"/>
        <v>26</v>
      </c>
      <c r="AV17">
        <f t="shared" si="5"/>
        <v>0</v>
      </c>
      <c r="AW17">
        <f t="shared" si="6"/>
        <v>0</v>
      </c>
      <c r="AX17">
        <f t="shared" si="9"/>
        <v>4</v>
      </c>
      <c r="AY17" s="29">
        <f t="shared" si="10"/>
        <v>30</v>
      </c>
      <c r="AZ17" s="29">
        <f t="shared" si="11"/>
        <v>30</v>
      </c>
      <c r="BA17" s="30">
        <f t="shared" ca="1" si="12"/>
        <v>43611</v>
      </c>
      <c r="BB17" s="30">
        <f t="shared" ca="1" si="13"/>
        <v>1453.7</v>
      </c>
      <c r="BC17" s="30">
        <f t="shared" ca="1" si="14"/>
        <v>0</v>
      </c>
      <c r="BD17" s="30">
        <f t="shared" ca="1" si="15"/>
        <v>43611</v>
      </c>
      <c r="BF17" s="34"/>
      <c r="BG17" s="31"/>
      <c r="BH17" s="31"/>
      <c r="BI17" s="31"/>
      <c r="BJ17" s="31"/>
    </row>
    <row r="18" spans="1:62" x14ac:dyDescent="0.3">
      <c r="C18" s="31"/>
      <c r="D18" s="31"/>
      <c r="E18" s="32"/>
      <c r="F18" s="8">
        <v>10</v>
      </c>
      <c r="G18" s="9">
        <v>1010</v>
      </c>
      <c r="H18" s="15" t="s">
        <v>12</v>
      </c>
      <c r="I18" s="17">
        <f t="shared" si="7"/>
        <v>4</v>
      </c>
      <c r="J18" s="18" t="s">
        <v>38</v>
      </c>
      <c r="K18" s="18" t="s">
        <v>38</v>
      </c>
      <c r="L18" s="18" t="s">
        <v>39</v>
      </c>
      <c r="M18" s="18" t="s">
        <v>38</v>
      </c>
      <c r="N18" s="18" t="s">
        <v>38</v>
      </c>
      <c r="O18" s="18" t="s">
        <v>38</v>
      </c>
      <c r="P18" s="18" t="str">
        <f t="shared" ref="P18:W28" si="17">IF(P$7="Sun","WO","")</f>
        <v>WO</v>
      </c>
      <c r="Q18" s="18" t="s">
        <v>38</v>
      </c>
      <c r="R18" s="18" t="s">
        <v>38</v>
      </c>
      <c r="S18" s="18" t="s">
        <v>39</v>
      </c>
      <c r="T18" s="18" t="s">
        <v>38</v>
      </c>
      <c r="U18" s="18" t="s">
        <v>38</v>
      </c>
      <c r="V18" s="18" t="s">
        <v>38</v>
      </c>
      <c r="W18" s="18" t="str">
        <f t="shared" si="17"/>
        <v>WO</v>
      </c>
      <c r="X18" s="18" t="s">
        <v>38</v>
      </c>
      <c r="Y18" s="18" t="s">
        <v>38</v>
      </c>
      <c r="Z18" s="18" t="s">
        <v>39</v>
      </c>
      <c r="AA18" s="18" t="s">
        <v>38</v>
      </c>
      <c r="AB18" s="18" t="s">
        <v>38</v>
      </c>
      <c r="AC18" s="18" t="s">
        <v>38</v>
      </c>
      <c r="AD18" s="18" t="str">
        <f t="shared" si="16"/>
        <v>WO</v>
      </c>
      <c r="AE18" s="18" t="s">
        <v>38</v>
      </c>
      <c r="AF18" s="18" t="s">
        <v>38</v>
      </c>
      <c r="AG18" s="18" t="s">
        <v>39</v>
      </c>
      <c r="AH18" s="18" t="s">
        <v>38</v>
      </c>
      <c r="AI18" s="18" t="s">
        <v>38</v>
      </c>
      <c r="AJ18" s="18" t="s">
        <v>38</v>
      </c>
      <c r="AK18" s="18" t="str">
        <f t="shared" si="16"/>
        <v>WO</v>
      </c>
      <c r="AL18" s="18" t="s">
        <v>38</v>
      </c>
      <c r="AM18" s="18" t="s">
        <v>38</v>
      </c>
      <c r="AN18" s="19" t="str">
        <f t="shared" si="16"/>
        <v/>
      </c>
      <c r="AO18" s="32"/>
      <c r="AP18" s="34"/>
      <c r="AQ18" s="9">
        <v>10</v>
      </c>
      <c r="AR18" s="9">
        <v>1010</v>
      </c>
      <c r="AS18" s="9" t="str">
        <f t="shared" si="8"/>
        <v>September</v>
      </c>
      <c r="AT18" s="15" t="s">
        <v>12</v>
      </c>
      <c r="AU18" s="28">
        <f t="shared" si="4"/>
        <v>22</v>
      </c>
      <c r="AV18">
        <f t="shared" si="5"/>
        <v>4</v>
      </c>
      <c r="AW18">
        <f t="shared" si="6"/>
        <v>0</v>
      </c>
      <c r="AX18">
        <f t="shared" si="9"/>
        <v>4</v>
      </c>
      <c r="AY18" s="29">
        <f t="shared" si="10"/>
        <v>30</v>
      </c>
      <c r="AZ18" s="29">
        <f t="shared" si="11"/>
        <v>26</v>
      </c>
      <c r="BA18" s="30">
        <f t="shared" ca="1" si="12"/>
        <v>11059</v>
      </c>
      <c r="BB18" s="30">
        <f t="shared" ca="1" si="13"/>
        <v>425.34615384615387</v>
      </c>
      <c r="BC18" s="30">
        <f t="shared" ca="1" si="14"/>
        <v>1701.3846153846155</v>
      </c>
      <c r="BD18" s="30">
        <f t="shared" ca="1" si="15"/>
        <v>9357.6153846153848</v>
      </c>
      <c r="BF18" s="34"/>
      <c r="BG18" s="31"/>
      <c r="BH18" s="31"/>
      <c r="BI18" s="31"/>
      <c r="BJ18" s="31"/>
    </row>
    <row r="19" spans="1:62" x14ac:dyDescent="0.3">
      <c r="C19" s="31"/>
      <c r="D19" s="31"/>
      <c r="E19" s="32"/>
      <c r="F19" s="8">
        <v>11</v>
      </c>
      <c r="G19" s="9">
        <v>1011</v>
      </c>
      <c r="H19" s="15" t="s">
        <v>13</v>
      </c>
      <c r="I19" s="17">
        <f t="shared" si="7"/>
        <v>4</v>
      </c>
      <c r="J19" s="18" t="s">
        <v>38</v>
      </c>
      <c r="K19" s="18" t="s">
        <v>38</v>
      </c>
      <c r="L19" s="18" t="s">
        <v>38</v>
      </c>
      <c r="M19" s="18" t="s">
        <v>38</v>
      </c>
      <c r="N19" s="18" t="s">
        <v>38</v>
      </c>
      <c r="O19" s="18" t="s">
        <v>38</v>
      </c>
      <c r="P19" s="18" t="str">
        <f t="shared" si="17"/>
        <v>WO</v>
      </c>
      <c r="Q19" s="18" t="s">
        <v>38</v>
      </c>
      <c r="R19" s="18" t="s">
        <v>38</v>
      </c>
      <c r="S19" s="18" t="s">
        <v>38</v>
      </c>
      <c r="T19" s="18" t="s">
        <v>38</v>
      </c>
      <c r="U19" s="18" t="s">
        <v>38</v>
      </c>
      <c r="V19" s="18" t="s">
        <v>38</v>
      </c>
      <c r="W19" s="18" t="str">
        <f t="shared" si="17"/>
        <v>WO</v>
      </c>
      <c r="X19" s="18" t="s">
        <v>38</v>
      </c>
      <c r="Y19" s="18" t="s">
        <v>38</v>
      </c>
      <c r="Z19" s="18" t="s">
        <v>38</v>
      </c>
      <c r="AA19" s="18" t="s">
        <v>38</v>
      </c>
      <c r="AB19" s="18" t="s">
        <v>38</v>
      </c>
      <c r="AC19" s="18" t="s">
        <v>38</v>
      </c>
      <c r="AD19" s="18" t="str">
        <f t="shared" si="16"/>
        <v>WO</v>
      </c>
      <c r="AE19" s="18" t="s">
        <v>38</v>
      </c>
      <c r="AF19" s="18" t="s">
        <v>38</v>
      </c>
      <c r="AG19" s="18" t="s">
        <v>38</v>
      </c>
      <c r="AH19" s="18" t="s">
        <v>38</v>
      </c>
      <c r="AI19" s="18" t="s">
        <v>38</v>
      </c>
      <c r="AJ19" s="18" t="s">
        <v>38</v>
      </c>
      <c r="AK19" s="18" t="str">
        <f t="shared" si="16"/>
        <v>WO</v>
      </c>
      <c r="AL19" s="18" t="s">
        <v>38</v>
      </c>
      <c r="AM19" s="18" t="s">
        <v>38</v>
      </c>
      <c r="AN19" s="19" t="str">
        <f t="shared" si="16"/>
        <v/>
      </c>
      <c r="AO19" s="32"/>
      <c r="AP19" s="34"/>
      <c r="AQ19" s="9">
        <v>11</v>
      </c>
      <c r="AR19" s="9">
        <v>1011</v>
      </c>
      <c r="AS19" s="9" t="str">
        <f t="shared" si="8"/>
        <v>September</v>
      </c>
      <c r="AT19" s="15" t="s">
        <v>13</v>
      </c>
      <c r="AU19" s="28">
        <f t="shared" si="4"/>
        <v>26</v>
      </c>
      <c r="AV19">
        <f t="shared" si="5"/>
        <v>0</v>
      </c>
      <c r="AW19">
        <f t="shared" si="6"/>
        <v>0</v>
      </c>
      <c r="AX19">
        <f t="shared" si="9"/>
        <v>4</v>
      </c>
      <c r="AY19" s="29">
        <f t="shared" si="10"/>
        <v>30</v>
      </c>
      <c r="AZ19" s="29">
        <f t="shared" si="11"/>
        <v>30</v>
      </c>
      <c r="BA19" s="30">
        <f t="shared" ca="1" si="12"/>
        <v>16009</v>
      </c>
      <c r="BB19" s="30">
        <f t="shared" ca="1" si="13"/>
        <v>533.63333333333333</v>
      </c>
      <c r="BC19" s="30">
        <f t="shared" ca="1" si="14"/>
        <v>0</v>
      </c>
      <c r="BD19" s="30">
        <f t="shared" ca="1" si="15"/>
        <v>16009</v>
      </c>
      <c r="BF19" s="34"/>
      <c r="BG19" s="31"/>
      <c r="BH19" s="31"/>
      <c r="BI19" s="31"/>
      <c r="BJ19" s="31"/>
    </row>
    <row r="20" spans="1:62" x14ac:dyDescent="0.3">
      <c r="C20" s="31"/>
      <c r="D20" s="31"/>
      <c r="E20" s="32"/>
      <c r="F20" s="8">
        <v>12</v>
      </c>
      <c r="G20" s="9">
        <v>1012</v>
      </c>
      <c r="H20" s="15" t="s">
        <v>14</v>
      </c>
      <c r="I20" s="17">
        <f t="shared" si="7"/>
        <v>4</v>
      </c>
      <c r="J20" s="18" t="s">
        <v>38</v>
      </c>
      <c r="K20" s="18" t="s">
        <v>38</v>
      </c>
      <c r="L20" s="18" t="s">
        <v>38</v>
      </c>
      <c r="M20" s="18" t="s">
        <v>38</v>
      </c>
      <c r="N20" s="18" t="s">
        <v>38</v>
      </c>
      <c r="O20" s="18" t="s">
        <v>38</v>
      </c>
      <c r="P20" s="18" t="str">
        <f t="shared" si="17"/>
        <v>WO</v>
      </c>
      <c r="Q20" s="18" t="s">
        <v>38</v>
      </c>
      <c r="R20" s="18" t="s">
        <v>38</v>
      </c>
      <c r="S20" s="18" t="s">
        <v>38</v>
      </c>
      <c r="T20" s="18" t="s">
        <v>38</v>
      </c>
      <c r="U20" s="18" t="s">
        <v>38</v>
      </c>
      <c r="V20" s="18" t="s">
        <v>38</v>
      </c>
      <c r="W20" s="18" t="str">
        <f t="shared" si="17"/>
        <v>WO</v>
      </c>
      <c r="X20" s="18" t="s">
        <v>38</v>
      </c>
      <c r="Y20" s="18" t="s">
        <v>38</v>
      </c>
      <c r="Z20" s="18" t="s">
        <v>38</v>
      </c>
      <c r="AA20" s="18" t="s">
        <v>38</v>
      </c>
      <c r="AB20" s="18" t="s">
        <v>38</v>
      </c>
      <c r="AC20" s="18" t="s">
        <v>38</v>
      </c>
      <c r="AD20" s="18" t="str">
        <f t="shared" si="16"/>
        <v>WO</v>
      </c>
      <c r="AE20" s="18" t="s">
        <v>38</v>
      </c>
      <c r="AF20" s="18" t="s">
        <v>38</v>
      </c>
      <c r="AG20" s="18" t="s">
        <v>38</v>
      </c>
      <c r="AH20" s="18" t="s">
        <v>38</v>
      </c>
      <c r="AI20" s="18" t="s">
        <v>38</v>
      </c>
      <c r="AJ20" s="18" t="s">
        <v>38</v>
      </c>
      <c r="AK20" s="18" t="str">
        <f t="shared" si="16"/>
        <v>WO</v>
      </c>
      <c r="AL20" s="18" t="s">
        <v>38</v>
      </c>
      <c r="AM20" s="18" t="s">
        <v>38</v>
      </c>
      <c r="AN20" s="19" t="str">
        <f t="shared" si="16"/>
        <v/>
      </c>
      <c r="AO20" s="32"/>
      <c r="AP20" s="34"/>
      <c r="AQ20" s="9">
        <v>12</v>
      </c>
      <c r="AR20" s="9">
        <v>1012</v>
      </c>
      <c r="AS20" s="9" t="str">
        <f t="shared" si="8"/>
        <v>September</v>
      </c>
      <c r="AT20" s="15" t="s">
        <v>14</v>
      </c>
      <c r="AU20" s="28">
        <f t="shared" si="4"/>
        <v>26</v>
      </c>
      <c r="AV20">
        <f t="shared" si="5"/>
        <v>0</v>
      </c>
      <c r="AW20">
        <f t="shared" si="6"/>
        <v>0</v>
      </c>
      <c r="AX20">
        <f t="shared" si="9"/>
        <v>4</v>
      </c>
      <c r="AY20" s="29">
        <f t="shared" si="10"/>
        <v>30</v>
      </c>
      <c r="AZ20" s="29">
        <f t="shared" si="11"/>
        <v>30</v>
      </c>
      <c r="BA20" s="30">
        <f t="shared" ca="1" si="12"/>
        <v>29789</v>
      </c>
      <c r="BB20" s="30">
        <f t="shared" ca="1" si="13"/>
        <v>992.9666666666667</v>
      </c>
      <c r="BC20" s="30">
        <f t="shared" ca="1" si="14"/>
        <v>0</v>
      </c>
      <c r="BD20" s="30">
        <f t="shared" ca="1" si="15"/>
        <v>29789</v>
      </c>
      <c r="BF20" s="34"/>
      <c r="BG20" s="31"/>
      <c r="BH20" s="31"/>
      <c r="BI20" s="31"/>
      <c r="BJ20" s="31"/>
    </row>
    <row r="21" spans="1:62" x14ac:dyDescent="0.3">
      <c r="C21" s="31"/>
      <c r="D21" s="31"/>
      <c r="E21" s="32"/>
      <c r="F21" s="8">
        <v>13</v>
      </c>
      <c r="G21" s="9">
        <v>1013</v>
      </c>
      <c r="H21" s="15" t="s">
        <v>15</v>
      </c>
      <c r="I21" s="17">
        <f t="shared" si="7"/>
        <v>4</v>
      </c>
      <c r="J21" s="18" t="s">
        <v>38</v>
      </c>
      <c r="K21" s="18" t="s">
        <v>39</v>
      </c>
      <c r="L21" s="18" t="s">
        <v>38</v>
      </c>
      <c r="M21" s="18" t="s">
        <v>38</v>
      </c>
      <c r="N21" s="18" t="s">
        <v>38</v>
      </c>
      <c r="O21" s="18" t="s">
        <v>38</v>
      </c>
      <c r="P21" s="18" t="str">
        <f t="shared" si="17"/>
        <v>WO</v>
      </c>
      <c r="Q21" s="18" t="s">
        <v>38</v>
      </c>
      <c r="R21" s="18" t="s">
        <v>39</v>
      </c>
      <c r="S21" s="18" t="s">
        <v>38</v>
      </c>
      <c r="T21" s="18" t="s">
        <v>38</v>
      </c>
      <c r="U21" s="18" t="s">
        <v>38</v>
      </c>
      <c r="V21" s="18" t="s">
        <v>38</v>
      </c>
      <c r="W21" s="18" t="str">
        <f t="shared" si="17"/>
        <v>WO</v>
      </c>
      <c r="X21" s="18" t="s">
        <v>38</v>
      </c>
      <c r="Y21" s="18" t="s">
        <v>38</v>
      </c>
      <c r="Z21" s="18" t="s">
        <v>38</v>
      </c>
      <c r="AA21" s="18" t="s">
        <v>38</v>
      </c>
      <c r="AB21" s="18" t="s">
        <v>38</v>
      </c>
      <c r="AC21" s="18" t="s">
        <v>38</v>
      </c>
      <c r="AD21" s="18" t="str">
        <f t="shared" si="16"/>
        <v>WO</v>
      </c>
      <c r="AE21" s="18" t="s">
        <v>38</v>
      </c>
      <c r="AF21" s="18" t="s">
        <v>39</v>
      </c>
      <c r="AG21" s="18" t="s">
        <v>38</v>
      </c>
      <c r="AH21" s="18" t="s">
        <v>38</v>
      </c>
      <c r="AI21" s="18" t="s">
        <v>38</v>
      </c>
      <c r="AJ21" s="18" t="s">
        <v>38</v>
      </c>
      <c r="AK21" s="18" t="str">
        <f t="shared" si="16"/>
        <v>WO</v>
      </c>
      <c r="AL21" s="18" t="s">
        <v>38</v>
      </c>
      <c r="AM21" s="18" t="s">
        <v>38</v>
      </c>
      <c r="AN21" s="19" t="str">
        <f t="shared" si="16"/>
        <v/>
      </c>
      <c r="AO21" s="32"/>
      <c r="AP21" s="34"/>
      <c r="AQ21" s="9">
        <v>13</v>
      </c>
      <c r="AR21" s="9">
        <v>1013</v>
      </c>
      <c r="AS21" s="9" t="str">
        <f t="shared" si="8"/>
        <v>September</v>
      </c>
      <c r="AT21" s="15" t="s">
        <v>15</v>
      </c>
      <c r="AU21" s="28">
        <f t="shared" si="4"/>
        <v>23</v>
      </c>
      <c r="AV21">
        <f t="shared" si="5"/>
        <v>3</v>
      </c>
      <c r="AW21">
        <f t="shared" si="6"/>
        <v>0</v>
      </c>
      <c r="AX21">
        <f t="shared" si="9"/>
        <v>4</v>
      </c>
      <c r="AY21" s="29">
        <f t="shared" si="10"/>
        <v>30</v>
      </c>
      <c r="AZ21" s="29">
        <f t="shared" si="11"/>
        <v>27</v>
      </c>
      <c r="BA21" s="30">
        <f t="shared" ca="1" si="12"/>
        <v>35706</v>
      </c>
      <c r="BB21" s="30">
        <f t="shared" ca="1" si="13"/>
        <v>1322.4444444444443</v>
      </c>
      <c r="BC21" s="30">
        <f t="shared" ca="1" si="14"/>
        <v>3967.333333333333</v>
      </c>
      <c r="BD21" s="30">
        <f t="shared" ca="1" si="15"/>
        <v>31738.666666666668</v>
      </c>
      <c r="BF21" s="34"/>
      <c r="BG21" s="31"/>
      <c r="BH21" s="31"/>
      <c r="BI21" s="31"/>
      <c r="BJ21" s="31"/>
    </row>
    <row r="22" spans="1:62" x14ac:dyDescent="0.3">
      <c r="C22" s="31"/>
      <c r="D22" s="31"/>
      <c r="E22" s="32"/>
      <c r="F22" s="8">
        <v>14</v>
      </c>
      <c r="G22" s="9">
        <v>1014</v>
      </c>
      <c r="H22" s="15" t="s">
        <v>16</v>
      </c>
      <c r="I22" s="17">
        <f t="shared" si="7"/>
        <v>4</v>
      </c>
      <c r="J22" s="18" t="s">
        <v>38</v>
      </c>
      <c r="K22" s="18" t="s">
        <v>38</v>
      </c>
      <c r="L22" s="18" t="s">
        <v>38</v>
      </c>
      <c r="M22" s="18" t="s">
        <v>38</v>
      </c>
      <c r="N22" s="18" t="s">
        <v>38</v>
      </c>
      <c r="O22" s="18" t="s">
        <v>38</v>
      </c>
      <c r="P22" s="18" t="str">
        <f t="shared" si="17"/>
        <v>WO</v>
      </c>
      <c r="Q22" s="18" t="s">
        <v>38</v>
      </c>
      <c r="R22" s="18" t="s">
        <v>38</v>
      </c>
      <c r="S22" s="18" t="s">
        <v>38</v>
      </c>
      <c r="T22" s="18" t="s">
        <v>38</v>
      </c>
      <c r="U22" s="18" t="s">
        <v>38</v>
      </c>
      <c r="V22" s="18" t="s">
        <v>38</v>
      </c>
      <c r="W22" s="18" t="str">
        <f t="shared" si="17"/>
        <v>WO</v>
      </c>
      <c r="X22" s="18" t="s">
        <v>38</v>
      </c>
      <c r="Y22" s="18" t="s">
        <v>38</v>
      </c>
      <c r="Z22" s="18" t="s">
        <v>38</v>
      </c>
      <c r="AA22" s="18" t="s">
        <v>38</v>
      </c>
      <c r="AB22" s="18" t="s">
        <v>38</v>
      </c>
      <c r="AC22" s="18" t="s">
        <v>38</v>
      </c>
      <c r="AD22" s="18" t="str">
        <f t="shared" si="16"/>
        <v>WO</v>
      </c>
      <c r="AE22" s="18" t="s">
        <v>38</v>
      </c>
      <c r="AF22" s="18" t="s">
        <v>38</v>
      </c>
      <c r="AG22" s="18" t="s">
        <v>38</v>
      </c>
      <c r="AH22" s="18" t="s">
        <v>38</v>
      </c>
      <c r="AI22" s="18" t="s">
        <v>38</v>
      </c>
      <c r="AJ22" s="18" t="s">
        <v>38</v>
      </c>
      <c r="AK22" s="18" t="str">
        <f t="shared" si="16"/>
        <v>WO</v>
      </c>
      <c r="AL22" s="18" t="s">
        <v>38</v>
      </c>
      <c r="AM22" s="18" t="s">
        <v>38</v>
      </c>
      <c r="AN22" s="19" t="str">
        <f t="shared" si="16"/>
        <v/>
      </c>
      <c r="AO22" s="32"/>
      <c r="AP22" s="34"/>
      <c r="AQ22" s="9">
        <v>14</v>
      </c>
      <c r="AR22" s="9">
        <v>1014</v>
      </c>
      <c r="AS22" s="9" t="str">
        <f t="shared" si="8"/>
        <v>September</v>
      </c>
      <c r="AT22" s="15" t="s">
        <v>16</v>
      </c>
      <c r="AU22" s="28">
        <f t="shared" si="4"/>
        <v>26</v>
      </c>
      <c r="AV22">
        <f t="shared" si="5"/>
        <v>0</v>
      </c>
      <c r="AW22">
        <f t="shared" si="6"/>
        <v>0</v>
      </c>
      <c r="AX22">
        <f t="shared" si="9"/>
        <v>4</v>
      </c>
      <c r="AY22" s="29">
        <f t="shared" si="10"/>
        <v>30</v>
      </c>
      <c r="AZ22" s="29">
        <f t="shared" si="11"/>
        <v>30</v>
      </c>
      <c r="BA22" s="30">
        <f t="shared" ca="1" si="12"/>
        <v>25306</v>
      </c>
      <c r="BB22" s="30">
        <f t="shared" ca="1" si="13"/>
        <v>843.5333333333333</v>
      </c>
      <c r="BC22" s="30">
        <f t="shared" ca="1" si="14"/>
        <v>0</v>
      </c>
      <c r="BD22" s="30">
        <f t="shared" ca="1" si="15"/>
        <v>25306</v>
      </c>
      <c r="BF22" s="34"/>
      <c r="BG22" s="31"/>
      <c r="BH22" s="31"/>
      <c r="BI22" s="31"/>
      <c r="BJ22" s="31"/>
    </row>
    <row r="23" spans="1:62" x14ac:dyDescent="0.3">
      <c r="C23" s="31"/>
      <c r="D23" s="31"/>
      <c r="E23" s="32"/>
      <c r="F23" s="8">
        <v>15</v>
      </c>
      <c r="G23" s="9">
        <v>1015</v>
      </c>
      <c r="H23" s="15" t="s">
        <v>17</v>
      </c>
      <c r="I23" s="17">
        <f t="shared" si="7"/>
        <v>4</v>
      </c>
      <c r="J23" s="18" t="s">
        <v>38</v>
      </c>
      <c r="K23" s="18" t="s">
        <v>38</v>
      </c>
      <c r="L23" s="18" t="s">
        <v>38</v>
      </c>
      <c r="M23" s="18" t="s">
        <v>38</v>
      </c>
      <c r="N23" s="18" t="s">
        <v>38</v>
      </c>
      <c r="O23" s="18" t="s">
        <v>38</v>
      </c>
      <c r="P23" s="18" t="str">
        <f t="shared" si="17"/>
        <v>WO</v>
      </c>
      <c r="Q23" s="18" t="s">
        <v>38</v>
      </c>
      <c r="R23" s="18" t="s">
        <v>38</v>
      </c>
      <c r="S23" s="18" t="s">
        <v>38</v>
      </c>
      <c r="T23" s="18" t="s">
        <v>38</v>
      </c>
      <c r="U23" s="18" t="s">
        <v>38</v>
      </c>
      <c r="V23" s="18" t="s">
        <v>38</v>
      </c>
      <c r="W23" s="18" t="str">
        <f t="shared" si="17"/>
        <v>WO</v>
      </c>
      <c r="X23" s="18" t="s">
        <v>38</v>
      </c>
      <c r="Y23" s="18" t="s">
        <v>38</v>
      </c>
      <c r="Z23" s="18" t="s">
        <v>38</v>
      </c>
      <c r="AA23" s="18" t="s">
        <v>38</v>
      </c>
      <c r="AB23" s="18" t="s">
        <v>38</v>
      </c>
      <c r="AC23" s="18" t="s">
        <v>38</v>
      </c>
      <c r="AD23" s="18" t="str">
        <f t="shared" si="16"/>
        <v>WO</v>
      </c>
      <c r="AE23" s="18" t="s">
        <v>38</v>
      </c>
      <c r="AF23" s="18" t="s">
        <v>38</v>
      </c>
      <c r="AG23" s="18" t="s">
        <v>38</v>
      </c>
      <c r="AH23" s="18" t="s">
        <v>38</v>
      </c>
      <c r="AI23" s="18" t="s">
        <v>38</v>
      </c>
      <c r="AJ23" s="18" t="s">
        <v>38</v>
      </c>
      <c r="AK23" s="18" t="str">
        <f t="shared" si="16"/>
        <v>WO</v>
      </c>
      <c r="AL23" s="18" t="s">
        <v>38</v>
      </c>
      <c r="AM23" s="18" t="s">
        <v>38</v>
      </c>
      <c r="AN23" s="19" t="str">
        <f t="shared" si="16"/>
        <v/>
      </c>
      <c r="AO23" s="32"/>
      <c r="AP23" s="34"/>
      <c r="AQ23" s="9">
        <v>15</v>
      </c>
      <c r="AR23" s="9">
        <v>1015</v>
      </c>
      <c r="AS23" s="9" t="str">
        <f t="shared" si="8"/>
        <v>September</v>
      </c>
      <c r="AT23" s="15" t="s">
        <v>17</v>
      </c>
      <c r="AU23" s="28">
        <f t="shared" si="4"/>
        <v>26</v>
      </c>
      <c r="AV23">
        <f t="shared" si="5"/>
        <v>0</v>
      </c>
      <c r="AW23">
        <f t="shared" si="6"/>
        <v>0</v>
      </c>
      <c r="AX23">
        <f t="shared" si="9"/>
        <v>4</v>
      </c>
      <c r="AY23" s="29">
        <f t="shared" si="10"/>
        <v>30</v>
      </c>
      <c r="AZ23" s="29">
        <f t="shared" si="11"/>
        <v>30</v>
      </c>
      <c r="BA23" s="30">
        <f t="shared" ca="1" si="12"/>
        <v>33924</v>
      </c>
      <c r="BB23" s="30">
        <f t="shared" ca="1" si="13"/>
        <v>1130.8</v>
      </c>
      <c r="BC23" s="30">
        <f t="shared" ca="1" si="14"/>
        <v>0</v>
      </c>
      <c r="BD23" s="30">
        <f t="shared" ca="1" si="15"/>
        <v>33924</v>
      </c>
      <c r="BF23" s="34"/>
      <c r="BG23" s="31"/>
      <c r="BH23" s="31"/>
      <c r="BI23" s="31"/>
      <c r="BJ23" s="31"/>
    </row>
    <row r="24" spans="1:62" x14ac:dyDescent="0.3">
      <c r="C24" s="31"/>
      <c r="D24" s="31"/>
      <c r="E24" s="32"/>
      <c r="F24" s="8">
        <v>16</v>
      </c>
      <c r="G24" s="9">
        <v>1016</v>
      </c>
      <c r="H24" s="15" t="s">
        <v>18</v>
      </c>
      <c r="I24" s="17">
        <f t="shared" si="7"/>
        <v>4</v>
      </c>
      <c r="J24" s="18" t="s">
        <v>38</v>
      </c>
      <c r="K24" s="18" t="s">
        <v>38</v>
      </c>
      <c r="L24" s="18" t="s">
        <v>39</v>
      </c>
      <c r="M24" s="18" t="s">
        <v>38</v>
      </c>
      <c r="N24" s="18" t="s">
        <v>38</v>
      </c>
      <c r="O24" s="18" t="s">
        <v>38</v>
      </c>
      <c r="P24" s="18" t="str">
        <f t="shared" si="17"/>
        <v>WO</v>
      </c>
      <c r="Q24" s="18" t="s">
        <v>38</v>
      </c>
      <c r="R24" s="18" t="s">
        <v>38</v>
      </c>
      <c r="S24" s="18" t="s">
        <v>39</v>
      </c>
      <c r="T24" s="18" t="s">
        <v>38</v>
      </c>
      <c r="U24" s="18" t="s">
        <v>38</v>
      </c>
      <c r="V24" s="18" t="s">
        <v>38</v>
      </c>
      <c r="W24" s="18" t="str">
        <f t="shared" si="17"/>
        <v>WO</v>
      </c>
      <c r="X24" s="18" t="s">
        <v>38</v>
      </c>
      <c r="Y24" s="18" t="s">
        <v>38</v>
      </c>
      <c r="Z24" s="18" t="s">
        <v>39</v>
      </c>
      <c r="AA24" s="18" t="s">
        <v>38</v>
      </c>
      <c r="AB24" s="18" t="s">
        <v>38</v>
      </c>
      <c r="AC24" s="18" t="s">
        <v>38</v>
      </c>
      <c r="AD24" s="18" t="str">
        <f t="shared" si="16"/>
        <v>WO</v>
      </c>
      <c r="AE24" s="18" t="s">
        <v>38</v>
      </c>
      <c r="AF24" s="18" t="s">
        <v>38</v>
      </c>
      <c r="AG24" s="18" t="s">
        <v>39</v>
      </c>
      <c r="AH24" s="18" t="s">
        <v>38</v>
      </c>
      <c r="AI24" s="18" t="s">
        <v>38</v>
      </c>
      <c r="AJ24" s="18" t="s">
        <v>38</v>
      </c>
      <c r="AK24" s="18" t="str">
        <f t="shared" si="16"/>
        <v>WO</v>
      </c>
      <c r="AL24" s="18" t="s">
        <v>38</v>
      </c>
      <c r="AM24" s="18" t="s">
        <v>38</v>
      </c>
      <c r="AN24" s="19" t="str">
        <f t="shared" si="16"/>
        <v/>
      </c>
      <c r="AO24" s="32"/>
      <c r="AP24" s="34"/>
      <c r="AQ24" s="9">
        <v>16</v>
      </c>
      <c r="AR24" s="9">
        <v>1016</v>
      </c>
      <c r="AS24" s="9" t="str">
        <f t="shared" si="8"/>
        <v>September</v>
      </c>
      <c r="AT24" s="15" t="s">
        <v>18</v>
      </c>
      <c r="AU24" s="28">
        <f t="shared" si="4"/>
        <v>22</v>
      </c>
      <c r="AV24">
        <f t="shared" si="5"/>
        <v>4</v>
      </c>
      <c r="AW24">
        <f t="shared" si="6"/>
        <v>0</v>
      </c>
      <c r="AX24">
        <f t="shared" si="9"/>
        <v>4</v>
      </c>
      <c r="AY24" s="29">
        <f t="shared" si="10"/>
        <v>30</v>
      </c>
      <c r="AZ24" s="29">
        <f t="shared" si="11"/>
        <v>26</v>
      </c>
      <c r="BA24" s="30">
        <f t="shared" ca="1" si="12"/>
        <v>44971</v>
      </c>
      <c r="BB24" s="30">
        <f t="shared" ca="1" si="13"/>
        <v>1729.6538461538462</v>
      </c>
      <c r="BC24" s="30">
        <f t="shared" ca="1" si="14"/>
        <v>6918.6153846153848</v>
      </c>
      <c r="BD24" s="30">
        <f t="shared" ca="1" si="15"/>
        <v>38052.384615384617</v>
      </c>
      <c r="BF24" s="34"/>
      <c r="BG24" s="31"/>
      <c r="BH24" s="31"/>
      <c r="BI24" s="31"/>
      <c r="BJ24" s="31"/>
    </row>
    <row r="25" spans="1:62" x14ac:dyDescent="0.3">
      <c r="C25" s="31"/>
      <c r="D25" s="31"/>
      <c r="E25" s="32"/>
      <c r="F25" s="8">
        <v>17</v>
      </c>
      <c r="G25" s="9">
        <v>1017</v>
      </c>
      <c r="H25" s="15" t="s">
        <v>19</v>
      </c>
      <c r="I25" s="17">
        <f t="shared" si="7"/>
        <v>4</v>
      </c>
      <c r="J25" s="18" t="s">
        <v>39</v>
      </c>
      <c r="K25" s="18" t="s">
        <v>38</v>
      </c>
      <c r="L25" s="18" t="s">
        <v>38</v>
      </c>
      <c r="M25" s="18" t="s">
        <v>38</v>
      </c>
      <c r="N25" s="18" t="s">
        <v>38</v>
      </c>
      <c r="O25" s="18" t="s">
        <v>38</v>
      </c>
      <c r="P25" s="18" t="str">
        <f t="shared" si="17"/>
        <v>WO</v>
      </c>
      <c r="Q25" s="18" t="s">
        <v>39</v>
      </c>
      <c r="R25" s="18" t="s">
        <v>38</v>
      </c>
      <c r="S25" s="18" t="s">
        <v>38</v>
      </c>
      <c r="T25" s="18" t="s">
        <v>38</v>
      </c>
      <c r="U25" s="18" t="s">
        <v>38</v>
      </c>
      <c r="V25" s="18" t="s">
        <v>38</v>
      </c>
      <c r="W25" s="18" t="str">
        <f t="shared" si="17"/>
        <v>WO</v>
      </c>
      <c r="X25" s="18" t="s">
        <v>39</v>
      </c>
      <c r="Y25" s="18" t="s">
        <v>38</v>
      </c>
      <c r="Z25" s="18" t="s">
        <v>38</v>
      </c>
      <c r="AA25" s="18" t="s">
        <v>38</v>
      </c>
      <c r="AB25" s="18" t="s">
        <v>38</v>
      </c>
      <c r="AC25" s="18" t="s">
        <v>38</v>
      </c>
      <c r="AD25" s="18" t="str">
        <f t="shared" si="16"/>
        <v>WO</v>
      </c>
      <c r="AE25" s="18" t="s">
        <v>39</v>
      </c>
      <c r="AF25" s="18" t="s">
        <v>38</v>
      </c>
      <c r="AG25" s="18" t="s">
        <v>38</v>
      </c>
      <c r="AH25" s="18" t="s">
        <v>38</v>
      </c>
      <c r="AI25" s="18" t="s">
        <v>38</v>
      </c>
      <c r="AJ25" s="18" t="s">
        <v>38</v>
      </c>
      <c r="AK25" s="18" t="str">
        <f t="shared" si="16"/>
        <v>WO</v>
      </c>
      <c r="AL25" s="18" t="s">
        <v>38</v>
      </c>
      <c r="AM25" s="18" t="s">
        <v>38</v>
      </c>
      <c r="AN25" s="19" t="str">
        <f t="shared" si="16"/>
        <v/>
      </c>
      <c r="AO25" s="32"/>
      <c r="AP25" s="34"/>
      <c r="AQ25" s="9">
        <v>17</v>
      </c>
      <c r="AR25" s="9">
        <v>1017</v>
      </c>
      <c r="AS25" s="9" t="str">
        <f t="shared" si="8"/>
        <v>September</v>
      </c>
      <c r="AT25" s="15" t="s">
        <v>19</v>
      </c>
      <c r="AU25" s="28">
        <f t="shared" si="4"/>
        <v>22</v>
      </c>
      <c r="AV25">
        <f t="shared" si="5"/>
        <v>4</v>
      </c>
      <c r="AW25">
        <f t="shared" si="6"/>
        <v>0</v>
      </c>
      <c r="AX25">
        <f t="shared" si="9"/>
        <v>4</v>
      </c>
      <c r="AY25" s="29">
        <f t="shared" si="10"/>
        <v>30</v>
      </c>
      <c r="AZ25" s="29">
        <f t="shared" si="11"/>
        <v>26</v>
      </c>
      <c r="BA25" s="30">
        <f t="shared" ca="1" si="12"/>
        <v>31011</v>
      </c>
      <c r="BB25" s="30">
        <f t="shared" ca="1" si="13"/>
        <v>1192.7307692307693</v>
      </c>
      <c r="BC25" s="30">
        <f t="shared" ca="1" si="14"/>
        <v>4770.9230769230771</v>
      </c>
      <c r="BD25" s="30">
        <f t="shared" ca="1" si="15"/>
        <v>26240.076923076922</v>
      </c>
      <c r="BF25" s="34"/>
      <c r="BG25" s="31"/>
      <c r="BH25" s="31"/>
      <c r="BI25" s="31"/>
      <c r="BJ25" s="31"/>
    </row>
    <row r="26" spans="1:62" x14ac:dyDescent="0.3">
      <c r="C26" s="31"/>
      <c r="D26" s="31"/>
      <c r="E26" s="32"/>
      <c r="F26" s="8">
        <v>18</v>
      </c>
      <c r="G26" s="9">
        <v>1018</v>
      </c>
      <c r="H26" s="15" t="s">
        <v>22</v>
      </c>
      <c r="I26" s="17">
        <f t="shared" si="7"/>
        <v>4</v>
      </c>
      <c r="J26" s="18" t="s">
        <v>38</v>
      </c>
      <c r="K26" s="18" t="s">
        <v>38</v>
      </c>
      <c r="L26" s="18" t="s">
        <v>38</v>
      </c>
      <c r="M26" s="18" t="s">
        <v>38</v>
      </c>
      <c r="N26" s="18" t="s">
        <v>38</v>
      </c>
      <c r="O26" s="18" t="s">
        <v>38</v>
      </c>
      <c r="P26" s="18" t="str">
        <f t="shared" si="17"/>
        <v>WO</v>
      </c>
      <c r="Q26" s="18" t="s">
        <v>38</v>
      </c>
      <c r="R26" s="18" t="s">
        <v>38</v>
      </c>
      <c r="S26" s="18" t="s">
        <v>38</v>
      </c>
      <c r="T26" s="18" t="s">
        <v>38</v>
      </c>
      <c r="U26" s="18" t="s">
        <v>38</v>
      </c>
      <c r="V26" s="18" t="s">
        <v>38</v>
      </c>
      <c r="W26" s="18" t="str">
        <f t="shared" si="17"/>
        <v>WO</v>
      </c>
      <c r="X26" s="18" t="s">
        <v>38</v>
      </c>
      <c r="Y26" s="18" t="s">
        <v>38</v>
      </c>
      <c r="Z26" s="18" t="s">
        <v>38</v>
      </c>
      <c r="AA26" s="18" t="s">
        <v>38</v>
      </c>
      <c r="AB26" s="18" t="s">
        <v>38</v>
      </c>
      <c r="AC26" s="18" t="s">
        <v>38</v>
      </c>
      <c r="AD26" s="18" t="str">
        <f t="shared" si="16"/>
        <v>WO</v>
      </c>
      <c r="AE26" s="18" t="s">
        <v>38</v>
      </c>
      <c r="AF26" s="18" t="s">
        <v>38</v>
      </c>
      <c r="AG26" s="18" t="s">
        <v>38</v>
      </c>
      <c r="AH26" s="18" t="s">
        <v>38</v>
      </c>
      <c r="AI26" s="18" t="s">
        <v>38</v>
      </c>
      <c r="AJ26" s="18" t="s">
        <v>38</v>
      </c>
      <c r="AK26" s="18" t="str">
        <f t="shared" si="16"/>
        <v>WO</v>
      </c>
      <c r="AL26" s="18" t="s">
        <v>38</v>
      </c>
      <c r="AM26" s="18" t="s">
        <v>38</v>
      </c>
      <c r="AN26" s="19" t="str">
        <f t="shared" si="16"/>
        <v/>
      </c>
      <c r="AO26" s="32"/>
      <c r="AP26" s="34"/>
      <c r="AQ26" s="9">
        <v>18</v>
      </c>
      <c r="AR26" s="9">
        <v>1018</v>
      </c>
      <c r="AS26" s="9" t="str">
        <f t="shared" si="8"/>
        <v>September</v>
      </c>
      <c r="AT26" s="15" t="s">
        <v>22</v>
      </c>
      <c r="AU26" s="28">
        <f t="shared" si="4"/>
        <v>26</v>
      </c>
      <c r="AV26">
        <f t="shared" si="5"/>
        <v>0</v>
      </c>
      <c r="AW26">
        <f t="shared" si="6"/>
        <v>0</v>
      </c>
      <c r="AX26">
        <f t="shared" si="9"/>
        <v>4</v>
      </c>
      <c r="AY26" s="29">
        <f t="shared" si="10"/>
        <v>30</v>
      </c>
      <c r="AZ26" s="29">
        <f t="shared" si="11"/>
        <v>30</v>
      </c>
      <c r="BA26" s="30">
        <f t="shared" ca="1" si="12"/>
        <v>37972</v>
      </c>
      <c r="BB26" s="30">
        <f t="shared" ca="1" si="13"/>
        <v>1265.7333333333333</v>
      </c>
      <c r="BC26" s="30">
        <f t="shared" ca="1" si="14"/>
        <v>0</v>
      </c>
      <c r="BD26" s="30">
        <f t="shared" ca="1" si="15"/>
        <v>37972</v>
      </c>
      <c r="BF26" s="34"/>
      <c r="BG26" s="31"/>
      <c r="BH26" s="31"/>
      <c r="BI26" s="31"/>
      <c r="BJ26" s="31"/>
    </row>
    <row r="27" spans="1:62" x14ac:dyDescent="0.3">
      <c r="C27" s="31"/>
      <c r="D27" s="31"/>
      <c r="E27" s="32"/>
      <c r="F27" s="8">
        <v>19</v>
      </c>
      <c r="G27" s="9">
        <v>1019</v>
      </c>
      <c r="H27" s="15" t="s">
        <v>20</v>
      </c>
      <c r="I27" s="17">
        <f t="shared" si="7"/>
        <v>4</v>
      </c>
      <c r="J27" s="18" t="s">
        <v>38</v>
      </c>
      <c r="K27" s="18" t="s">
        <v>39</v>
      </c>
      <c r="L27" s="18" t="s">
        <v>38</v>
      </c>
      <c r="M27" s="18" t="s">
        <v>38</v>
      </c>
      <c r="N27" s="18" t="s">
        <v>38</v>
      </c>
      <c r="O27" s="18" t="s">
        <v>38</v>
      </c>
      <c r="P27" s="18" t="str">
        <f t="shared" si="17"/>
        <v>WO</v>
      </c>
      <c r="Q27" s="18" t="s">
        <v>38</v>
      </c>
      <c r="R27" s="18" t="s">
        <v>39</v>
      </c>
      <c r="S27" s="18" t="s">
        <v>38</v>
      </c>
      <c r="T27" s="18" t="s">
        <v>38</v>
      </c>
      <c r="U27" s="18" t="s">
        <v>38</v>
      </c>
      <c r="V27" s="18" t="s">
        <v>38</v>
      </c>
      <c r="W27" s="18" t="str">
        <f t="shared" si="17"/>
        <v>WO</v>
      </c>
      <c r="X27" s="18" t="s">
        <v>38</v>
      </c>
      <c r="Y27" s="18" t="s">
        <v>39</v>
      </c>
      <c r="Z27" s="18" t="s">
        <v>38</v>
      </c>
      <c r="AA27" s="18" t="s">
        <v>38</v>
      </c>
      <c r="AB27" s="18" t="s">
        <v>38</v>
      </c>
      <c r="AC27" s="18" t="s">
        <v>38</v>
      </c>
      <c r="AD27" s="18" t="str">
        <f t="shared" si="16"/>
        <v>WO</v>
      </c>
      <c r="AE27" s="18" t="s">
        <v>38</v>
      </c>
      <c r="AF27" s="18" t="s">
        <v>39</v>
      </c>
      <c r="AG27" s="18" t="s">
        <v>38</v>
      </c>
      <c r="AH27" s="18" t="s">
        <v>38</v>
      </c>
      <c r="AI27" s="18" t="s">
        <v>38</v>
      </c>
      <c r="AJ27" s="18" t="s">
        <v>38</v>
      </c>
      <c r="AK27" s="18" t="str">
        <f t="shared" si="16"/>
        <v>WO</v>
      </c>
      <c r="AL27" s="18" t="s">
        <v>38</v>
      </c>
      <c r="AM27" s="18" t="s">
        <v>38</v>
      </c>
      <c r="AN27" s="19" t="str">
        <f t="shared" si="16"/>
        <v/>
      </c>
      <c r="AO27" s="32"/>
      <c r="AP27" s="34"/>
      <c r="AQ27" s="9">
        <v>19</v>
      </c>
      <c r="AR27" s="9">
        <v>1019</v>
      </c>
      <c r="AS27" s="9" t="str">
        <f t="shared" si="8"/>
        <v>September</v>
      </c>
      <c r="AT27" s="15" t="s">
        <v>20</v>
      </c>
      <c r="AU27" s="28">
        <f t="shared" si="4"/>
        <v>22</v>
      </c>
      <c r="AV27">
        <f t="shared" si="5"/>
        <v>4</v>
      </c>
      <c r="AW27">
        <f t="shared" si="6"/>
        <v>0</v>
      </c>
      <c r="AX27">
        <f t="shared" si="9"/>
        <v>4</v>
      </c>
      <c r="AY27" s="29">
        <f t="shared" si="10"/>
        <v>30</v>
      </c>
      <c r="AZ27" s="29">
        <f t="shared" si="11"/>
        <v>26</v>
      </c>
      <c r="BA27" s="30">
        <f t="shared" ca="1" si="12"/>
        <v>43254</v>
      </c>
      <c r="BB27" s="30">
        <f t="shared" ca="1" si="13"/>
        <v>1663.6153846153845</v>
      </c>
      <c r="BC27" s="30">
        <f t="shared" ca="1" si="14"/>
        <v>6654.4615384615381</v>
      </c>
      <c r="BD27" s="30">
        <f t="shared" ca="1" si="15"/>
        <v>36599.538461538461</v>
      </c>
      <c r="BF27" s="34"/>
      <c r="BG27" s="31"/>
      <c r="BH27" s="31"/>
      <c r="BI27" s="31"/>
      <c r="BJ27" s="31"/>
    </row>
    <row r="28" spans="1:62" ht="15" thickBot="1" x14ac:dyDescent="0.35">
      <c r="C28" s="31"/>
      <c r="D28" s="31"/>
      <c r="E28" s="32"/>
      <c r="F28" s="10">
        <v>20</v>
      </c>
      <c r="G28" s="11">
        <v>1020</v>
      </c>
      <c r="H28" s="16" t="s">
        <v>21</v>
      </c>
      <c r="I28" s="20">
        <f t="shared" si="7"/>
        <v>4</v>
      </c>
      <c r="J28" s="21" t="s">
        <v>38</v>
      </c>
      <c r="K28" s="21" t="s">
        <v>38</v>
      </c>
      <c r="L28" s="21" t="s">
        <v>38</v>
      </c>
      <c r="M28" s="21" t="s">
        <v>38</v>
      </c>
      <c r="N28" s="21" t="s">
        <v>38</v>
      </c>
      <c r="O28" s="21" t="s">
        <v>38</v>
      </c>
      <c r="P28" s="21" t="str">
        <f t="shared" si="17"/>
        <v>WO</v>
      </c>
      <c r="Q28" s="21" t="s">
        <v>38</v>
      </c>
      <c r="R28" s="21" t="s">
        <v>38</v>
      </c>
      <c r="S28" s="21" t="s">
        <v>38</v>
      </c>
      <c r="T28" s="21" t="s">
        <v>38</v>
      </c>
      <c r="U28" s="21" t="s">
        <v>40</v>
      </c>
      <c r="V28" s="21" t="s">
        <v>40</v>
      </c>
      <c r="W28" s="21" t="str">
        <f t="shared" si="17"/>
        <v>WO</v>
      </c>
      <c r="X28" s="21" t="s">
        <v>38</v>
      </c>
      <c r="Y28" s="21" t="s">
        <v>38</v>
      </c>
      <c r="Z28" s="21" t="s">
        <v>38</v>
      </c>
      <c r="AA28" s="21" t="s">
        <v>38</v>
      </c>
      <c r="AB28" s="21" t="s">
        <v>38</v>
      </c>
      <c r="AC28" s="21" t="s">
        <v>38</v>
      </c>
      <c r="AD28" s="21" t="str">
        <f t="shared" si="16"/>
        <v>WO</v>
      </c>
      <c r="AE28" s="21" t="s">
        <v>38</v>
      </c>
      <c r="AF28" s="21" t="s">
        <v>38</v>
      </c>
      <c r="AG28" s="21" t="s">
        <v>38</v>
      </c>
      <c r="AH28" s="21" t="s">
        <v>39</v>
      </c>
      <c r="AI28" s="21" t="s">
        <v>38</v>
      </c>
      <c r="AJ28" s="21" t="s">
        <v>39</v>
      </c>
      <c r="AK28" s="21" t="str">
        <f t="shared" si="16"/>
        <v>WO</v>
      </c>
      <c r="AL28" s="21" t="s">
        <v>38</v>
      </c>
      <c r="AM28" s="21" t="s">
        <v>38</v>
      </c>
      <c r="AN28" s="22" t="str">
        <f t="shared" si="16"/>
        <v/>
      </c>
      <c r="AO28" s="32"/>
      <c r="AP28" s="34"/>
      <c r="AQ28" s="9">
        <v>20</v>
      </c>
      <c r="AR28" s="9">
        <v>1020</v>
      </c>
      <c r="AS28" s="9" t="str">
        <f t="shared" si="8"/>
        <v>September</v>
      </c>
      <c r="AT28" s="15" t="s">
        <v>21</v>
      </c>
      <c r="AU28" s="28">
        <f t="shared" si="4"/>
        <v>22</v>
      </c>
      <c r="AV28">
        <f t="shared" si="5"/>
        <v>2</v>
      </c>
      <c r="AW28">
        <f t="shared" si="6"/>
        <v>2</v>
      </c>
      <c r="AX28">
        <f t="shared" si="9"/>
        <v>4</v>
      </c>
      <c r="AY28" s="29">
        <f t="shared" si="10"/>
        <v>30</v>
      </c>
      <c r="AZ28" s="29">
        <f t="shared" si="11"/>
        <v>28</v>
      </c>
      <c r="BA28" s="30">
        <f t="shared" ca="1" si="12"/>
        <v>34817</v>
      </c>
      <c r="BB28" s="30">
        <f t="shared" ca="1" si="13"/>
        <v>1243.4642857142858</v>
      </c>
      <c r="BC28" s="30">
        <f t="shared" ca="1" si="14"/>
        <v>2486.9285714285716</v>
      </c>
      <c r="BD28" s="30">
        <f t="shared" ca="1" si="15"/>
        <v>32330.071428571428</v>
      </c>
      <c r="BF28" s="34"/>
      <c r="BG28" s="31"/>
      <c r="BH28" s="31"/>
      <c r="BI28" s="31"/>
      <c r="BJ28" s="31"/>
    </row>
    <row r="29" spans="1:62" x14ac:dyDescent="0.3">
      <c r="A29" s="31"/>
      <c r="B29" s="31"/>
      <c r="C29" s="31"/>
      <c r="D29" s="31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1"/>
      <c r="BH29" s="31"/>
      <c r="BI29" s="31"/>
      <c r="BJ29" s="31"/>
    </row>
    <row r="30" spans="1:62" x14ac:dyDescent="0.3">
      <c r="A30" s="31"/>
      <c r="B30" s="31"/>
      <c r="C30" s="31"/>
      <c r="D30" s="31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1"/>
      <c r="BH30" s="31"/>
      <c r="BI30" s="31"/>
      <c r="BJ30" s="31"/>
    </row>
    <row r="31" spans="1:62" x14ac:dyDescent="0.3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</row>
    <row r="32" spans="1:62" x14ac:dyDescent="0.3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</row>
    <row r="33" spans="1:62" x14ac:dyDescent="0.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</row>
    <row r="34" spans="1:62" x14ac:dyDescent="0.3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</row>
    <row r="35" spans="1:62" x14ac:dyDescent="0.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</row>
    <row r="36" spans="1:62" x14ac:dyDescent="0.3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</row>
    <row r="37" spans="1:62" x14ac:dyDescent="0.3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</row>
    <row r="38" spans="1:62" x14ac:dyDescent="0.3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</row>
    <row r="39" spans="1:62" x14ac:dyDescent="0.3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</row>
    <row r="40" spans="1:62" x14ac:dyDescent="0.3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</row>
    <row r="41" spans="1:62" x14ac:dyDescent="0.3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</row>
    <row r="42" spans="1:62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</row>
    <row r="43" spans="1:62" x14ac:dyDescent="0.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</row>
    <row r="44" spans="1:62" x14ac:dyDescent="0.3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</row>
    <row r="45" spans="1:62" x14ac:dyDescent="0.3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</row>
    <row r="46" spans="1:62" x14ac:dyDescent="0.3">
      <c r="AO46" s="31"/>
      <c r="AP46" s="31"/>
      <c r="BF46" s="31"/>
      <c r="BG46" s="31"/>
      <c r="BH46" s="31"/>
      <c r="BI46" s="31"/>
      <c r="BJ46" s="31"/>
    </row>
    <row r="47" spans="1:62" x14ac:dyDescent="0.3">
      <c r="AO47" s="31"/>
      <c r="AP47" s="31"/>
      <c r="BF47" s="31"/>
      <c r="BG47" s="31"/>
      <c r="BH47" s="31"/>
      <c r="BI47" s="31"/>
      <c r="BJ47" s="31"/>
    </row>
    <row r="48" spans="1:62" x14ac:dyDescent="0.3">
      <c r="AO48" s="31"/>
      <c r="AP48" s="31"/>
      <c r="BF48" s="31"/>
      <c r="BG48" s="31"/>
      <c r="BH48" s="31"/>
      <c r="BI48" s="31"/>
      <c r="BJ48" s="31"/>
    </row>
    <row r="49" spans="41:62" x14ac:dyDescent="0.3">
      <c r="AO49" s="31"/>
      <c r="AP49" s="31"/>
      <c r="BF49" s="31"/>
      <c r="BG49" s="31"/>
      <c r="BH49" s="31"/>
      <c r="BI49" s="31"/>
      <c r="BJ49" s="31"/>
    </row>
  </sheetData>
  <conditionalFormatting sqref="J9:O28">
    <cfRule type="containsText" dxfId="127" priority="33" operator="containsText" text="L">
      <formula>NOT(ISERROR(SEARCH("L",J9)))</formula>
    </cfRule>
    <cfRule type="containsText" dxfId="126" priority="36" operator="containsText" text="WO">
      <formula>NOT(ISERROR(SEARCH("WO",J9)))</formula>
    </cfRule>
    <cfRule type="containsText" dxfId="125" priority="35" operator="containsText" text="P">
      <formula>NOT(ISERROR(SEARCH("P",J9)))</formula>
    </cfRule>
    <cfRule type="containsText" dxfId="124" priority="34" operator="containsText" text="A">
      <formula>NOT(ISERROR(SEARCH("A",J9)))</formula>
    </cfRule>
  </conditionalFormatting>
  <conditionalFormatting sqref="P9:P28 W9:W28 AD9:AD28 AK9:AK28 AN9:AN28">
    <cfRule type="containsText" dxfId="123" priority="74" operator="containsText" text="L">
      <formula>NOT(ISERROR(SEARCH("L",P9)))</formula>
    </cfRule>
    <cfRule type="containsText" dxfId="122" priority="75" operator="containsText" text="A">
      <formula>NOT(ISERROR(SEARCH("A",P9)))</formula>
    </cfRule>
    <cfRule type="containsText" dxfId="121" priority="76" operator="containsText" text="P">
      <formula>NOT(ISERROR(SEARCH("P",P9)))</formula>
    </cfRule>
    <cfRule type="containsText" dxfId="120" priority="77" operator="containsText" text="WO">
      <formula>NOT(ISERROR(SEARCH("WO",P9)))</formula>
    </cfRule>
    <cfRule type="containsText" dxfId="119" priority="57" operator="containsText" text="L">
      <formula>NOT(ISERROR(SEARCH("L",P9)))</formula>
    </cfRule>
    <cfRule type="containsText" dxfId="118" priority="58" operator="containsText" text="A">
      <formula>NOT(ISERROR(SEARCH("A",P9)))</formula>
    </cfRule>
    <cfRule type="containsText" dxfId="117" priority="59" operator="containsText" text="P">
      <formula>NOT(ISERROR(SEARCH("P",P9)))</formula>
    </cfRule>
    <cfRule type="containsText" dxfId="116" priority="69" operator="containsText" text="A">
      <formula>NOT(ISERROR(SEARCH("A",P9)))</formula>
    </cfRule>
    <cfRule type="containsText" dxfId="115" priority="73" operator="containsText" text="P">
      <formula>NOT(ISERROR(SEARCH("P",P9)))</formula>
    </cfRule>
  </conditionalFormatting>
  <conditionalFormatting sqref="P9:P28">
    <cfRule type="containsText" dxfId="114" priority="68" operator="containsText" text="P">
      <formula>NOT(ISERROR(SEARCH("P",P9)))</formula>
    </cfRule>
  </conditionalFormatting>
  <conditionalFormatting sqref="Q9:V28">
    <cfRule type="containsText" dxfId="113" priority="25" operator="containsText" text="L">
      <formula>NOT(ISERROR(SEARCH("L",Q9)))</formula>
    </cfRule>
    <cfRule type="containsText" dxfId="112" priority="28" operator="containsText" text="WO">
      <formula>NOT(ISERROR(SEARCH("WO",Q9)))</formula>
    </cfRule>
    <cfRule type="containsText" dxfId="111" priority="27" operator="containsText" text="P">
      <formula>NOT(ISERROR(SEARCH("P",Q9)))</formula>
    </cfRule>
    <cfRule type="containsText" dxfId="110" priority="26" operator="containsText" text="A">
      <formula>NOT(ISERROR(SEARCH("A",Q9)))</formula>
    </cfRule>
  </conditionalFormatting>
  <conditionalFormatting sqref="W9:W28">
    <cfRule type="containsText" dxfId="109" priority="65" operator="containsText" text="P">
      <formula>NOT(ISERROR(SEARCH("P",W9)))</formula>
    </cfRule>
  </conditionalFormatting>
  <conditionalFormatting sqref="X9:AC28">
    <cfRule type="containsText" dxfId="108" priority="17" operator="containsText" text="L">
      <formula>NOT(ISERROR(SEARCH("L",X9)))</formula>
    </cfRule>
    <cfRule type="containsText" dxfId="107" priority="18" operator="containsText" text="A">
      <formula>NOT(ISERROR(SEARCH("A",X9)))</formula>
    </cfRule>
    <cfRule type="containsText" dxfId="106" priority="19" operator="containsText" text="P">
      <formula>NOT(ISERROR(SEARCH("P",X9)))</formula>
    </cfRule>
    <cfRule type="containsText" dxfId="105" priority="20" operator="containsText" text="WO">
      <formula>NOT(ISERROR(SEARCH("WO",X9)))</formula>
    </cfRule>
  </conditionalFormatting>
  <conditionalFormatting sqref="AD9:AD28">
    <cfRule type="containsText" dxfId="104" priority="63" operator="containsText" text="P">
      <formula>NOT(ISERROR(SEARCH("P",AD9)))</formula>
    </cfRule>
  </conditionalFormatting>
  <conditionalFormatting sqref="AE9:AJ28">
    <cfRule type="containsText" dxfId="103" priority="9" operator="containsText" text="L">
      <formula>NOT(ISERROR(SEARCH("L",AE9)))</formula>
    </cfRule>
    <cfRule type="containsText" dxfId="102" priority="10" operator="containsText" text="A">
      <formula>NOT(ISERROR(SEARCH("A",AE9)))</formula>
    </cfRule>
    <cfRule type="containsText" dxfId="101" priority="11" operator="containsText" text="P">
      <formula>NOT(ISERROR(SEARCH("P",AE9)))</formula>
    </cfRule>
    <cfRule type="containsText" dxfId="100" priority="12" operator="containsText" text="WO">
      <formula>NOT(ISERROR(SEARCH("WO",AE9)))</formula>
    </cfRule>
  </conditionalFormatting>
  <conditionalFormatting sqref="AK9:AK28">
    <cfRule type="containsText" dxfId="99" priority="61" operator="containsText" text="P">
      <formula>NOT(ISERROR(SEARCH("P",AK9)))</formula>
    </cfRule>
  </conditionalFormatting>
  <conditionalFormatting sqref="AL9:AM28">
    <cfRule type="containsText" dxfId="98" priority="2" operator="containsText" text="A">
      <formula>NOT(ISERROR(SEARCH("A",AL9)))</formula>
    </cfRule>
    <cfRule type="containsText" dxfId="97" priority="3" operator="containsText" text="P">
      <formula>NOT(ISERROR(SEARCH("P",AL9)))</formula>
    </cfRule>
    <cfRule type="containsText" dxfId="96" priority="4" operator="containsText" text="WO">
      <formula>NOT(ISERROR(SEARCH("WO",AL9)))</formula>
    </cfRule>
    <cfRule type="containsText" dxfId="95" priority="1" operator="containsText" text="L">
      <formula>NOT(ISERROR(SEARCH("L",AL9)))</formula>
    </cfRule>
  </conditionalFormatting>
  <dataValidations count="1">
    <dataValidation type="list" allowBlank="1" showInputMessage="1" showErrorMessage="1" sqref="F7:I28 J7:AN8 J9:O28 Q9:V28 X9:AC28 AE9:AJ28 AL9:AM28" xr:uid="{B434254A-1C75-44AE-8BBD-3D22FA6F2134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CAE0D39-A328-47E2-A4B7-AF6F6AF11AAC}">
          <x14:formula1>
            <xm:f>Rough!$A$1:$A$12</xm:f>
          </x14:formula1>
          <xm:sqref>G5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DCB368A6-DEAC-4255-A37A-525E60273E9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September!AU9:AX9</xm:f>
              <xm:sqref>BE9</xm:sqref>
            </x14:sparkline>
            <x14:sparkline>
              <xm:f>September!AU10:AX10</xm:f>
              <xm:sqref>BE10</xm:sqref>
            </x14:sparkline>
            <x14:sparkline>
              <xm:f>September!AU11:AX11</xm:f>
              <xm:sqref>BE11</xm:sqref>
            </x14:sparkline>
            <x14:sparkline>
              <xm:f>September!AU12:AX12</xm:f>
              <xm:sqref>BE12</xm:sqref>
            </x14:sparkline>
            <x14:sparkline>
              <xm:f>September!AU13:AX13</xm:f>
              <xm:sqref>BE13</xm:sqref>
            </x14:sparkline>
            <x14:sparkline>
              <xm:f>September!AU14:AX14</xm:f>
              <xm:sqref>BE14</xm:sqref>
            </x14:sparkline>
            <x14:sparkline>
              <xm:f>September!AU15:AX15</xm:f>
              <xm:sqref>BE15</xm:sqref>
            </x14:sparkline>
            <x14:sparkline>
              <xm:f>September!AU16:AX16</xm:f>
              <xm:sqref>BE16</xm:sqref>
            </x14:sparkline>
            <x14:sparkline>
              <xm:f>September!AU17:AX17</xm:f>
              <xm:sqref>BE17</xm:sqref>
            </x14:sparkline>
            <x14:sparkline>
              <xm:f>September!AU18:AX18</xm:f>
              <xm:sqref>BE18</xm:sqref>
            </x14:sparkline>
            <x14:sparkline>
              <xm:f>September!AU19:AX19</xm:f>
              <xm:sqref>BE19</xm:sqref>
            </x14:sparkline>
            <x14:sparkline>
              <xm:f>September!AU20:AX20</xm:f>
              <xm:sqref>BE20</xm:sqref>
            </x14:sparkline>
            <x14:sparkline>
              <xm:f>September!AU21:AX21</xm:f>
              <xm:sqref>BE21</xm:sqref>
            </x14:sparkline>
            <x14:sparkline>
              <xm:f>September!AU22:AX22</xm:f>
              <xm:sqref>BE22</xm:sqref>
            </x14:sparkline>
            <x14:sparkline>
              <xm:f>September!AU23:AX23</xm:f>
              <xm:sqref>BE23</xm:sqref>
            </x14:sparkline>
            <x14:sparkline>
              <xm:f>September!AU24:AX24</xm:f>
              <xm:sqref>BE24</xm:sqref>
            </x14:sparkline>
            <x14:sparkline>
              <xm:f>September!AU25:AX25</xm:f>
              <xm:sqref>BE25</xm:sqref>
            </x14:sparkline>
            <x14:sparkline>
              <xm:f>September!AU26:AX26</xm:f>
              <xm:sqref>BE26</xm:sqref>
            </x14:sparkline>
            <x14:sparkline>
              <xm:f>September!AU27:AX27</xm:f>
              <xm:sqref>BE27</xm:sqref>
            </x14:sparkline>
            <x14:sparkline>
              <xm:f>September!AU28:AX28</xm:f>
              <xm:sqref>BE28</xm:sqref>
            </x14:sparkline>
          </x14:sparklines>
        </x14:sparklineGroup>
      </x14:sparklineGroup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A3DF6-363E-401B-AF91-D9A499B1D00C}">
  <dimension ref="A1:BJ49"/>
  <sheetViews>
    <sheetView topLeftCell="AK4" workbookViewId="0">
      <selection activeCell="AY17" sqref="AX16:AY17"/>
    </sheetView>
  </sheetViews>
  <sheetFormatPr defaultRowHeight="14.4" x14ac:dyDescent="0.3"/>
  <cols>
    <col min="6" max="6" width="6.33203125" bestFit="1" customWidth="1"/>
    <col min="7" max="7" width="14.33203125" bestFit="1" customWidth="1"/>
    <col min="8" max="8" width="18.77734375" bestFit="1" customWidth="1"/>
    <col min="9" max="9" width="10.5546875" bestFit="1" customWidth="1"/>
    <col min="10" max="10" width="5.5546875" customWidth="1"/>
    <col min="11" max="11" width="4" bestFit="1" customWidth="1"/>
    <col min="12" max="12" width="3.88671875" customWidth="1"/>
    <col min="13" max="13" width="3.5546875" bestFit="1" customWidth="1"/>
    <col min="14" max="14" width="3.88671875" bestFit="1" customWidth="1"/>
    <col min="15" max="15" width="4.77734375" bestFit="1" customWidth="1"/>
    <col min="16" max="16" width="4" bestFit="1" customWidth="1"/>
    <col min="17" max="17" width="4.77734375" bestFit="1" customWidth="1"/>
    <col min="18" max="18" width="4" bestFit="1" customWidth="1"/>
    <col min="19" max="19" width="3.44140625" customWidth="1"/>
    <col min="20" max="20" width="3.5546875" bestFit="1" customWidth="1"/>
    <col min="21" max="21" width="3.88671875" bestFit="1" customWidth="1"/>
    <col min="22" max="22" width="4.77734375" bestFit="1" customWidth="1"/>
    <col min="23" max="23" width="4" bestFit="1" customWidth="1"/>
    <col min="24" max="24" width="4.77734375" bestFit="1" customWidth="1"/>
    <col min="25" max="25" width="4" bestFit="1" customWidth="1"/>
    <col min="26" max="26" width="3.44140625" customWidth="1"/>
    <col min="27" max="27" width="3.5546875" bestFit="1" customWidth="1"/>
    <col min="28" max="28" width="3.88671875" bestFit="1" customWidth="1"/>
    <col min="29" max="29" width="4.77734375" bestFit="1" customWidth="1"/>
    <col min="30" max="30" width="4" bestFit="1" customWidth="1"/>
    <col min="31" max="31" width="4.77734375" bestFit="1" customWidth="1"/>
    <col min="32" max="32" width="4" bestFit="1" customWidth="1"/>
    <col min="33" max="33" width="4" customWidth="1"/>
    <col min="34" max="34" width="3.5546875" bestFit="1" customWidth="1"/>
    <col min="35" max="35" width="3.88671875" bestFit="1" customWidth="1"/>
    <col min="36" max="36" width="4.77734375" bestFit="1" customWidth="1"/>
    <col min="37" max="37" width="4" bestFit="1" customWidth="1"/>
    <col min="38" max="38" width="4.77734375" bestFit="1" customWidth="1"/>
    <col min="39" max="39" width="4" bestFit="1" customWidth="1"/>
    <col min="40" max="40" width="3.44140625" customWidth="1"/>
    <col min="44" max="44" width="16" customWidth="1"/>
    <col min="45" max="45" width="13.6640625" customWidth="1"/>
    <col min="46" max="46" width="20.33203125" customWidth="1"/>
    <col min="47" max="47" width="11" customWidth="1"/>
    <col min="48" max="48" width="10.33203125" customWidth="1"/>
    <col min="49" max="49" width="9.109375" customWidth="1"/>
    <col min="50" max="50" width="13" customWidth="1"/>
    <col min="51" max="51" width="8" customWidth="1"/>
    <col min="52" max="52" width="13.6640625" customWidth="1"/>
    <col min="53" max="53" width="11.5546875" bestFit="1" customWidth="1"/>
    <col min="54" max="54" width="17.77734375" customWidth="1"/>
    <col min="55" max="55" width="13.88671875" customWidth="1"/>
    <col min="56" max="56" width="15.21875" customWidth="1"/>
    <col min="57" max="57" width="12.77734375" customWidth="1"/>
  </cols>
  <sheetData>
    <row r="1" spans="1:62" x14ac:dyDescent="0.3">
      <c r="AP1" s="31"/>
      <c r="BF1" s="31"/>
      <c r="BG1" s="31"/>
      <c r="BH1" s="31"/>
      <c r="BI1" s="31"/>
      <c r="BJ1" s="31"/>
    </row>
    <row r="2" spans="1:62" x14ac:dyDescent="0.3">
      <c r="AP2" s="31"/>
      <c r="BF2" s="31"/>
      <c r="BG2" s="31"/>
      <c r="BH2" s="31"/>
      <c r="BI2" s="31"/>
      <c r="BJ2" s="31"/>
    </row>
    <row r="3" spans="1:62" x14ac:dyDescent="0.3">
      <c r="AP3" s="31"/>
      <c r="BF3" s="31"/>
      <c r="BG3" s="31"/>
      <c r="BH3" s="31"/>
      <c r="BI3" s="31"/>
      <c r="BJ3" s="31"/>
    </row>
    <row r="4" spans="1:62" x14ac:dyDescent="0.3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</row>
    <row r="5" spans="1:62" x14ac:dyDescent="0.3">
      <c r="A5" s="31"/>
      <c r="B5" s="31"/>
      <c r="C5" s="31"/>
      <c r="D5" s="31"/>
      <c r="E5" s="35" t="str">
        <f>TEXT(G5,"mmmm")</f>
        <v>October</v>
      </c>
      <c r="F5" s="35" t="s">
        <v>26</v>
      </c>
      <c r="G5" s="36">
        <v>45931</v>
      </c>
      <c r="H5" s="37">
        <f>(DATEDIF($G$5,$J$5,"D"))+1</f>
        <v>31</v>
      </c>
      <c r="I5" s="35" t="s">
        <v>27</v>
      </c>
      <c r="J5" s="36">
        <f>EOMONTH(G5,0)</f>
        <v>45961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</row>
    <row r="6" spans="1:62" ht="15" thickBot="1" x14ac:dyDescent="0.35">
      <c r="A6" s="31"/>
      <c r="B6" s="31"/>
      <c r="C6" s="31"/>
      <c r="D6" s="31"/>
      <c r="E6" s="32"/>
      <c r="F6" s="32"/>
      <c r="G6" s="32"/>
      <c r="H6" s="32"/>
      <c r="I6" s="32"/>
      <c r="J6" s="33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1"/>
      <c r="BH6" s="31"/>
      <c r="BI6" s="31"/>
      <c r="BJ6" s="31"/>
    </row>
    <row r="7" spans="1:62" ht="15" thickBot="1" x14ac:dyDescent="0.35">
      <c r="C7" s="31"/>
      <c r="D7" s="31"/>
      <c r="E7" s="32"/>
      <c r="F7" s="5"/>
      <c r="G7" s="6" t="s">
        <v>29</v>
      </c>
      <c r="H7" s="7"/>
      <c r="I7" s="5" t="s">
        <v>28</v>
      </c>
      <c r="J7" s="23" t="str">
        <f>TEXT(J8,"DDD")</f>
        <v>Wed</v>
      </c>
      <c r="K7" s="23" t="str">
        <f>TEXT(K8,"DDD")</f>
        <v>Thu</v>
      </c>
      <c r="L7" s="23" t="str">
        <f t="shared" ref="L7:AI7" si="0">TEXT(L8,"DDD")</f>
        <v>Fri</v>
      </c>
      <c r="M7" s="23" t="str">
        <f t="shared" si="0"/>
        <v>Sat</v>
      </c>
      <c r="N7" s="23" t="str">
        <f t="shared" si="0"/>
        <v>Sun</v>
      </c>
      <c r="O7" s="23" t="str">
        <f t="shared" si="0"/>
        <v>Mon</v>
      </c>
      <c r="P7" s="23" t="str">
        <f t="shared" si="0"/>
        <v>Tue</v>
      </c>
      <c r="Q7" s="23" t="str">
        <f t="shared" si="0"/>
        <v>Wed</v>
      </c>
      <c r="R7" s="23" t="str">
        <f t="shared" si="0"/>
        <v>Thu</v>
      </c>
      <c r="S7" s="23" t="str">
        <f t="shared" si="0"/>
        <v>Fri</v>
      </c>
      <c r="T7" s="23" t="str">
        <f t="shared" si="0"/>
        <v>Sat</v>
      </c>
      <c r="U7" s="23" t="str">
        <f t="shared" si="0"/>
        <v>Sun</v>
      </c>
      <c r="V7" s="23" t="str">
        <f t="shared" si="0"/>
        <v>Mon</v>
      </c>
      <c r="W7" s="23" t="str">
        <f t="shared" si="0"/>
        <v>Tue</v>
      </c>
      <c r="X7" s="23" t="str">
        <f t="shared" si="0"/>
        <v>Wed</v>
      </c>
      <c r="Y7" s="23" t="str">
        <f t="shared" si="0"/>
        <v>Thu</v>
      </c>
      <c r="Z7" s="23" t="str">
        <f t="shared" si="0"/>
        <v>Fri</v>
      </c>
      <c r="AA7" s="23" t="str">
        <f t="shared" si="0"/>
        <v>Sat</v>
      </c>
      <c r="AB7" s="23" t="str">
        <f t="shared" si="0"/>
        <v>Sun</v>
      </c>
      <c r="AC7" s="23" t="str">
        <f t="shared" si="0"/>
        <v>Mon</v>
      </c>
      <c r="AD7" s="23" t="str">
        <f t="shared" si="0"/>
        <v>Tue</v>
      </c>
      <c r="AE7" s="23" t="str">
        <f t="shared" si="0"/>
        <v>Wed</v>
      </c>
      <c r="AF7" s="23" t="str">
        <f t="shared" si="0"/>
        <v>Thu</v>
      </c>
      <c r="AG7" s="23" t="str">
        <f t="shared" si="0"/>
        <v>Fri</v>
      </c>
      <c r="AH7" s="23" t="str">
        <f t="shared" si="0"/>
        <v>Sat</v>
      </c>
      <c r="AI7" s="23" t="str">
        <f t="shared" si="0"/>
        <v>Sun</v>
      </c>
      <c r="AJ7" s="23" t="str">
        <f>TEXT(AJ8,"DDD")</f>
        <v>Mon</v>
      </c>
      <c r="AK7" s="23" t="str">
        <f>TEXT(AK8,"DDD")</f>
        <v>Tue</v>
      </c>
      <c r="AL7" s="23" t="str">
        <f t="shared" ref="AL7:AN7" si="1">TEXT(AL8,"DDD")</f>
        <v>Wed</v>
      </c>
      <c r="AM7" s="23" t="str">
        <f t="shared" si="1"/>
        <v>Thu</v>
      </c>
      <c r="AN7" s="24" t="str">
        <f t="shared" si="1"/>
        <v>Fri</v>
      </c>
      <c r="AO7" s="32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1"/>
      <c r="BH7" s="31"/>
      <c r="BI7" s="31"/>
      <c r="BJ7" s="31"/>
    </row>
    <row r="8" spans="1:62" ht="18.600000000000001" thickBot="1" x14ac:dyDescent="0.4">
      <c r="C8" s="31"/>
      <c r="D8" s="31"/>
      <c r="E8" s="32"/>
      <c r="F8" s="12" t="s">
        <v>23</v>
      </c>
      <c r="G8" s="13" t="s">
        <v>2</v>
      </c>
      <c r="H8" s="14" t="s">
        <v>24</v>
      </c>
      <c r="I8" s="25" t="s">
        <v>25</v>
      </c>
      <c r="J8" s="26">
        <f>G5</f>
        <v>45931</v>
      </c>
      <c r="K8" s="26">
        <f>IF(J8&lt;$J$5,J8+1,"")</f>
        <v>45932</v>
      </c>
      <c r="L8" s="26">
        <f t="shared" ref="L8:AN8" si="2">IF(K8&lt;$J$5,K8+1,"")</f>
        <v>45933</v>
      </c>
      <c r="M8" s="26">
        <f t="shared" si="2"/>
        <v>45934</v>
      </c>
      <c r="N8" s="26">
        <f t="shared" si="2"/>
        <v>45935</v>
      </c>
      <c r="O8" s="26">
        <f t="shared" si="2"/>
        <v>45936</v>
      </c>
      <c r="P8" s="26">
        <f t="shared" si="2"/>
        <v>45937</v>
      </c>
      <c r="Q8" s="26">
        <f t="shared" si="2"/>
        <v>45938</v>
      </c>
      <c r="R8" s="26">
        <f t="shared" si="2"/>
        <v>45939</v>
      </c>
      <c r="S8" s="26">
        <f t="shared" si="2"/>
        <v>45940</v>
      </c>
      <c r="T8" s="26">
        <f t="shared" si="2"/>
        <v>45941</v>
      </c>
      <c r="U8" s="26">
        <f t="shared" si="2"/>
        <v>45942</v>
      </c>
      <c r="V8" s="26">
        <f t="shared" si="2"/>
        <v>45943</v>
      </c>
      <c r="W8" s="26">
        <f t="shared" si="2"/>
        <v>45944</v>
      </c>
      <c r="X8" s="26">
        <f t="shared" si="2"/>
        <v>45945</v>
      </c>
      <c r="Y8" s="26">
        <f t="shared" si="2"/>
        <v>45946</v>
      </c>
      <c r="Z8" s="26">
        <f t="shared" si="2"/>
        <v>45947</v>
      </c>
      <c r="AA8" s="26">
        <f t="shared" si="2"/>
        <v>45948</v>
      </c>
      <c r="AB8" s="26">
        <f t="shared" si="2"/>
        <v>45949</v>
      </c>
      <c r="AC8" s="26">
        <f t="shared" si="2"/>
        <v>45950</v>
      </c>
      <c r="AD8" s="26">
        <f t="shared" si="2"/>
        <v>45951</v>
      </c>
      <c r="AE8" s="26">
        <f t="shared" si="2"/>
        <v>45952</v>
      </c>
      <c r="AF8" s="26">
        <f t="shared" si="2"/>
        <v>45953</v>
      </c>
      <c r="AG8" s="26">
        <f t="shared" si="2"/>
        <v>45954</v>
      </c>
      <c r="AH8" s="26">
        <f t="shared" si="2"/>
        <v>45955</v>
      </c>
      <c r="AI8" s="26">
        <f t="shared" si="2"/>
        <v>45956</v>
      </c>
      <c r="AJ8" s="26">
        <f t="shared" si="2"/>
        <v>45957</v>
      </c>
      <c r="AK8" s="26">
        <f t="shared" si="2"/>
        <v>45958</v>
      </c>
      <c r="AL8" s="26">
        <f t="shared" si="2"/>
        <v>45959</v>
      </c>
      <c r="AM8" s="26">
        <f t="shared" si="2"/>
        <v>45960</v>
      </c>
      <c r="AN8" s="27">
        <f t="shared" si="2"/>
        <v>45961</v>
      </c>
      <c r="AO8" s="32"/>
      <c r="AP8" s="34"/>
      <c r="AQ8" s="38" t="s">
        <v>23</v>
      </c>
      <c r="AR8" s="38" t="s">
        <v>2</v>
      </c>
      <c r="AS8" s="38" t="s">
        <v>42</v>
      </c>
      <c r="AT8" s="39" t="s">
        <v>24</v>
      </c>
      <c r="AU8" s="40" t="s">
        <v>30</v>
      </c>
      <c r="AV8" s="38" t="s">
        <v>31</v>
      </c>
      <c r="AW8" s="38" t="s">
        <v>32</v>
      </c>
      <c r="AX8" s="38" t="s">
        <v>25</v>
      </c>
      <c r="AY8" s="38" t="s">
        <v>28</v>
      </c>
      <c r="AZ8" s="38" t="s">
        <v>33</v>
      </c>
      <c r="BA8" s="38" t="s">
        <v>34</v>
      </c>
      <c r="BB8" s="38" t="s">
        <v>35</v>
      </c>
      <c r="BC8" s="40" t="s">
        <v>36</v>
      </c>
      <c r="BD8" s="38" t="s">
        <v>37</v>
      </c>
      <c r="BE8" s="38" t="s">
        <v>41</v>
      </c>
      <c r="BF8" s="34"/>
      <c r="BG8" s="31"/>
      <c r="BH8" s="31"/>
      <c r="BI8" s="31"/>
      <c r="BJ8" s="31"/>
    </row>
    <row r="9" spans="1:62" x14ac:dyDescent="0.3">
      <c r="C9" s="31"/>
      <c r="D9" s="31"/>
      <c r="E9" s="32"/>
      <c r="F9" s="8">
        <v>1</v>
      </c>
      <c r="G9" s="9">
        <v>1001</v>
      </c>
      <c r="H9" s="15" t="s">
        <v>3</v>
      </c>
      <c r="I9" s="17">
        <f>COUNTIF($J$7:$AN$7,"Sun")</f>
        <v>4</v>
      </c>
      <c r="J9" s="18" t="s">
        <v>38</v>
      </c>
      <c r="K9" s="18" t="s">
        <v>38</v>
      </c>
      <c r="L9" s="18" t="s">
        <v>38</v>
      </c>
      <c r="M9" s="18" t="s">
        <v>38</v>
      </c>
      <c r="N9" s="18" t="str">
        <f t="shared" ref="N9:AI17" si="3">IF(N$7="Sun","WO","")</f>
        <v>WO</v>
      </c>
      <c r="O9" s="18" t="s">
        <v>38</v>
      </c>
      <c r="P9" s="18" t="s">
        <v>38</v>
      </c>
      <c r="Q9" s="18" t="s">
        <v>38</v>
      </c>
      <c r="R9" s="18" t="s">
        <v>38</v>
      </c>
      <c r="S9" s="18" t="s">
        <v>38</v>
      </c>
      <c r="T9" s="18" t="s">
        <v>38</v>
      </c>
      <c r="U9" s="18" t="str">
        <f t="shared" si="3"/>
        <v>WO</v>
      </c>
      <c r="V9" s="18" t="s">
        <v>38</v>
      </c>
      <c r="W9" s="18" t="s">
        <v>38</v>
      </c>
      <c r="X9" s="18" t="s">
        <v>38</v>
      </c>
      <c r="Y9" s="18" t="s">
        <v>38</v>
      </c>
      <c r="Z9" s="18" t="s">
        <v>38</v>
      </c>
      <c r="AA9" s="18" t="s">
        <v>38</v>
      </c>
      <c r="AB9" s="18" t="str">
        <f t="shared" si="3"/>
        <v>WO</v>
      </c>
      <c r="AC9" s="18" t="s">
        <v>38</v>
      </c>
      <c r="AD9" s="18" t="s">
        <v>38</v>
      </c>
      <c r="AE9" s="18" t="s">
        <v>38</v>
      </c>
      <c r="AF9" s="18" t="s">
        <v>38</v>
      </c>
      <c r="AG9" s="18" t="s">
        <v>38</v>
      </c>
      <c r="AH9" s="18" t="s">
        <v>38</v>
      </c>
      <c r="AI9" s="18" t="str">
        <f t="shared" si="3"/>
        <v>WO</v>
      </c>
      <c r="AJ9" s="18" t="s">
        <v>38</v>
      </c>
      <c r="AK9" s="18" t="s">
        <v>38</v>
      </c>
      <c r="AL9" s="18" t="s">
        <v>38</v>
      </c>
      <c r="AM9" s="18" t="s">
        <v>38</v>
      </c>
      <c r="AN9" s="19" t="s">
        <v>38</v>
      </c>
      <c r="AO9" s="32"/>
      <c r="AP9" s="34"/>
      <c r="AQ9" s="9">
        <v>1</v>
      </c>
      <c r="AR9" s="9">
        <v>1001</v>
      </c>
      <c r="AS9" s="9" t="str">
        <f>$E$5</f>
        <v>October</v>
      </c>
      <c r="AT9" s="15" t="s">
        <v>3</v>
      </c>
      <c r="AU9" s="28">
        <f t="shared" ref="AU9:AU28" si="4">COUNTIF($J9:$AN9,"P")</f>
        <v>27</v>
      </c>
      <c r="AV9">
        <f t="shared" ref="AV9:AV28" si="5">COUNTIF($J9:$AN9,"A")</f>
        <v>0</v>
      </c>
      <c r="AW9">
        <f t="shared" ref="AW9:AW28" si="6">COUNTIF($J9:$AN9,"L")</f>
        <v>0</v>
      </c>
      <c r="AX9">
        <f>$I$9</f>
        <v>4</v>
      </c>
      <c r="AY9" s="29">
        <f>$H$5</f>
        <v>31</v>
      </c>
      <c r="AZ9" s="29">
        <f>AY9-AV9</f>
        <v>31</v>
      </c>
      <c r="BA9" s="30">
        <f ca="1">RANDBETWEEN(10000,50000)</f>
        <v>35894</v>
      </c>
      <c r="BB9" s="30">
        <f ca="1">BA9/AZ9</f>
        <v>1157.8709677419354</v>
      </c>
      <c r="BC9" s="30">
        <f ca="1">BB9*AV9</f>
        <v>0</v>
      </c>
      <c r="BD9" s="30">
        <f ca="1">BA9-BC9</f>
        <v>35894</v>
      </c>
      <c r="BF9" s="34"/>
      <c r="BG9" s="31"/>
      <c r="BH9" s="31"/>
      <c r="BI9" s="31"/>
      <c r="BJ9" s="31"/>
    </row>
    <row r="10" spans="1:62" x14ac:dyDescent="0.3">
      <c r="C10" s="31"/>
      <c r="D10" s="31"/>
      <c r="E10" s="32"/>
      <c r="F10" s="8">
        <v>2</v>
      </c>
      <c r="G10" s="9">
        <v>1002</v>
      </c>
      <c r="H10" s="15" t="s">
        <v>4</v>
      </c>
      <c r="I10" s="17">
        <f t="shared" ref="I10:I28" si="7">COUNTIF($J$7:$AN$7,"Sun")</f>
        <v>4</v>
      </c>
      <c r="J10" s="18" t="s">
        <v>38</v>
      </c>
      <c r="K10" s="18" t="s">
        <v>38</v>
      </c>
      <c r="L10" s="18" t="s">
        <v>39</v>
      </c>
      <c r="M10" s="18" t="s">
        <v>38</v>
      </c>
      <c r="N10" s="18" t="str">
        <f t="shared" si="3"/>
        <v>WO</v>
      </c>
      <c r="O10" s="18" t="s">
        <v>38</v>
      </c>
      <c r="P10" s="18" t="s">
        <v>38</v>
      </c>
      <c r="Q10" s="18" t="s">
        <v>39</v>
      </c>
      <c r="R10" s="18" t="s">
        <v>38</v>
      </c>
      <c r="S10" s="18" t="s">
        <v>38</v>
      </c>
      <c r="T10" s="18" t="s">
        <v>38</v>
      </c>
      <c r="U10" s="18" t="str">
        <f t="shared" si="3"/>
        <v>WO</v>
      </c>
      <c r="V10" s="18" t="s">
        <v>38</v>
      </c>
      <c r="W10" s="18" t="s">
        <v>38</v>
      </c>
      <c r="X10" s="18" t="s">
        <v>39</v>
      </c>
      <c r="Y10" s="18" t="s">
        <v>38</v>
      </c>
      <c r="Z10" s="18" t="s">
        <v>38</v>
      </c>
      <c r="AA10" s="18" t="s">
        <v>38</v>
      </c>
      <c r="AB10" s="18" t="str">
        <f t="shared" si="3"/>
        <v>WO</v>
      </c>
      <c r="AC10" s="18" t="s">
        <v>38</v>
      </c>
      <c r="AD10" s="18" t="s">
        <v>38</v>
      </c>
      <c r="AE10" s="18" t="s">
        <v>39</v>
      </c>
      <c r="AF10" s="18" t="s">
        <v>38</v>
      </c>
      <c r="AG10" s="18" t="s">
        <v>38</v>
      </c>
      <c r="AH10" s="18" t="s">
        <v>38</v>
      </c>
      <c r="AI10" s="18" t="str">
        <f t="shared" si="3"/>
        <v>WO</v>
      </c>
      <c r="AJ10" s="18" t="s">
        <v>38</v>
      </c>
      <c r="AK10" s="18" t="s">
        <v>38</v>
      </c>
      <c r="AL10" s="18" t="s">
        <v>39</v>
      </c>
      <c r="AM10" s="18" t="s">
        <v>38</v>
      </c>
      <c r="AN10" s="19" t="s">
        <v>38</v>
      </c>
      <c r="AO10" s="32"/>
      <c r="AP10" s="34"/>
      <c r="AQ10" s="9">
        <v>2</v>
      </c>
      <c r="AR10" s="9">
        <v>1002</v>
      </c>
      <c r="AS10" s="9" t="str">
        <f t="shared" ref="AS10:AS28" si="8">$E$5</f>
        <v>October</v>
      </c>
      <c r="AT10" s="15" t="s">
        <v>4</v>
      </c>
      <c r="AU10" s="28">
        <f t="shared" si="4"/>
        <v>22</v>
      </c>
      <c r="AV10">
        <f t="shared" si="5"/>
        <v>5</v>
      </c>
      <c r="AW10">
        <f t="shared" si="6"/>
        <v>0</v>
      </c>
      <c r="AX10">
        <f t="shared" ref="AX10:AX28" si="9">$I$9</f>
        <v>4</v>
      </c>
      <c r="AY10" s="29">
        <f t="shared" ref="AY10:AY28" si="10">$H$5</f>
        <v>31</v>
      </c>
      <c r="AZ10" s="29">
        <f t="shared" ref="AZ10:AZ28" si="11">AY10-AV10</f>
        <v>26</v>
      </c>
      <c r="BA10" s="30">
        <f t="shared" ref="BA10:BA28" ca="1" si="12">RANDBETWEEN(10000,50000)</f>
        <v>31086</v>
      </c>
      <c r="BB10" s="30">
        <f t="shared" ref="BB10:BB28" ca="1" si="13">BA10/AZ10</f>
        <v>1195.6153846153845</v>
      </c>
      <c r="BC10" s="30">
        <f t="shared" ref="BC10:BC28" ca="1" si="14">BB10*AV10</f>
        <v>5978.0769230769229</v>
      </c>
      <c r="BD10" s="30">
        <f t="shared" ref="BD10:BD28" ca="1" si="15">BA10-BC10</f>
        <v>25107.923076923078</v>
      </c>
      <c r="BF10" s="34"/>
      <c r="BG10" s="31"/>
      <c r="BH10" s="31"/>
      <c r="BI10" s="31"/>
      <c r="BJ10" s="31"/>
    </row>
    <row r="11" spans="1:62" x14ac:dyDescent="0.3">
      <c r="C11" s="31"/>
      <c r="D11" s="31"/>
      <c r="E11" s="32"/>
      <c r="F11" s="8">
        <v>3</v>
      </c>
      <c r="G11" s="9">
        <v>1003</v>
      </c>
      <c r="H11" s="15" t="s">
        <v>5</v>
      </c>
      <c r="I11" s="17">
        <f t="shared" si="7"/>
        <v>4</v>
      </c>
      <c r="J11" s="18" t="s">
        <v>38</v>
      </c>
      <c r="K11" s="18" t="s">
        <v>39</v>
      </c>
      <c r="L11" s="18" t="s">
        <v>38</v>
      </c>
      <c r="M11" s="18" t="s">
        <v>38</v>
      </c>
      <c r="N11" s="18" t="str">
        <f t="shared" si="3"/>
        <v>WO</v>
      </c>
      <c r="O11" s="18" t="s">
        <v>38</v>
      </c>
      <c r="P11" s="18" t="s">
        <v>39</v>
      </c>
      <c r="Q11" s="18" t="s">
        <v>38</v>
      </c>
      <c r="R11" s="18" t="s">
        <v>38</v>
      </c>
      <c r="S11" s="18" t="s">
        <v>39</v>
      </c>
      <c r="T11" s="18" t="s">
        <v>39</v>
      </c>
      <c r="U11" s="18" t="str">
        <f t="shared" si="3"/>
        <v>WO</v>
      </c>
      <c r="V11" s="18" t="s">
        <v>38</v>
      </c>
      <c r="W11" s="18" t="s">
        <v>39</v>
      </c>
      <c r="X11" s="18" t="s">
        <v>38</v>
      </c>
      <c r="Y11" s="18" t="s">
        <v>38</v>
      </c>
      <c r="Z11" s="18" t="s">
        <v>39</v>
      </c>
      <c r="AA11" s="18" t="s">
        <v>39</v>
      </c>
      <c r="AB11" s="18" t="str">
        <f t="shared" si="3"/>
        <v>WO</v>
      </c>
      <c r="AC11" s="18" t="s">
        <v>38</v>
      </c>
      <c r="AD11" s="18" t="s">
        <v>39</v>
      </c>
      <c r="AE11" s="18" t="s">
        <v>38</v>
      </c>
      <c r="AF11" s="18" t="s">
        <v>38</v>
      </c>
      <c r="AG11" s="18" t="s">
        <v>39</v>
      </c>
      <c r="AH11" s="18" t="s">
        <v>39</v>
      </c>
      <c r="AI11" s="18" t="str">
        <f t="shared" si="3"/>
        <v>WO</v>
      </c>
      <c r="AJ11" s="18" t="s">
        <v>38</v>
      </c>
      <c r="AK11" s="18" t="s">
        <v>39</v>
      </c>
      <c r="AL11" s="18" t="s">
        <v>38</v>
      </c>
      <c r="AM11" s="18" t="s">
        <v>38</v>
      </c>
      <c r="AN11" s="19" t="s">
        <v>39</v>
      </c>
      <c r="AO11" s="32"/>
      <c r="AP11" s="34"/>
      <c r="AQ11" s="9">
        <v>3</v>
      </c>
      <c r="AR11" s="9">
        <v>1003</v>
      </c>
      <c r="AS11" s="9" t="str">
        <f t="shared" si="8"/>
        <v>October</v>
      </c>
      <c r="AT11" s="15" t="s">
        <v>5</v>
      </c>
      <c r="AU11" s="28">
        <f t="shared" si="4"/>
        <v>15</v>
      </c>
      <c r="AV11">
        <f t="shared" si="5"/>
        <v>12</v>
      </c>
      <c r="AW11">
        <f t="shared" si="6"/>
        <v>0</v>
      </c>
      <c r="AX11">
        <f t="shared" si="9"/>
        <v>4</v>
      </c>
      <c r="AY11" s="29">
        <f t="shared" si="10"/>
        <v>31</v>
      </c>
      <c r="AZ11" s="29">
        <f t="shared" si="11"/>
        <v>19</v>
      </c>
      <c r="BA11" s="30">
        <f t="shared" ca="1" si="12"/>
        <v>49984</v>
      </c>
      <c r="BB11" s="30">
        <f t="shared" ca="1" si="13"/>
        <v>2630.7368421052633</v>
      </c>
      <c r="BC11" s="30">
        <f t="shared" ca="1" si="14"/>
        <v>31568.84210526316</v>
      </c>
      <c r="BD11" s="30">
        <f t="shared" ca="1" si="15"/>
        <v>18415.15789473684</v>
      </c>
      <c r="BF11" s="34"/>
      <c r="BG11" s="31"/>
      <c r="BH11" s="31"/>
      <c r="BI11" s="31"/>
      <c r="BJ11" s="31"/>
    </row>
    <row r="12" spans="1:62" x14ac:dyDescent="0.3">
      <c r="C12" s="31"/>
      <c r="D12" s="31"/>
      <c r="E12" s="32"/>
      <c r="F12" s="8">
        <v>4</v>
      </c>
      <c r="G12" s="9">
        <v>1004</v>
      </c>
      <c r="H12" s="15" t="s">
        <v>6</v>
      </c>
      <c r="I12" s="17">
        <f t="shared" si="7"/>
        <v>4</v>
      </c>
      <c r="J12" s="18" t="s">
        <v>38</v>
      </c>
      <c r="K12" s="18" t="s">
        <v>39</v>
      </c>
      <c r="L12" s="18" t="s">
        <v>38</v>
      </c>
      <c r="M12" s="18" t="s">
        <v>38</v>
      </c>
      <c r="N12" s="18" t="str">
        <f t="shared" si="3"/>
        <v>WO</v>
      </c>
      <c r="O12" s="18" t="s">
        <v>38</v>
      </c>
      <c r="P12" s="18" t="s">
        <v>39</v>
      </c>
      <c r="Q12" s="18" t="s">
        <v>38</v>
      </c>
      <c r="R12" s="18" t="s">
        <v>38</v>
      </c>
      <c r="S12" s="18" t="s">
        <v>38</v>
      </c>
      <c r="T12" s="18" t="s">
        <v>38</v>
      </c>
      <c r="U12" s="18" t="str">
        <f t="shared" si="3"/>
        <v>WO</v>
      </c>
      <c r="V12" s="18" t="s">
        <v>38</v>
      </c>
      <c r="W12" s="18" t="s">
        <v>39</v>
      </c>
      <c r="X12" s="18" t="s">
        <v>38</v>
      </c>
      <c r="Y12" s="18" t="s">
        <v>38</v>
      </c>
      <c r="Z12" s="18" t="s">
        <v>38</v>
      </c>
      <c r="AA12" s="18" t="s">
        <v>38</v>
      </c>
      <c r="AB12" s="18" t="str">
        <f t="shared" si="3"/>
        <v>WO</v>
      </c>
      <c r="AC12" s="18" t="s">
        <v>38</v>
      </c>
      <c r="AD12" s="18" t="s">
        <v>39</v>
      </c>
      <c r="AE12" s="18" t="s">
        <v>38</v>
      </c>
      <c r="AF12" s="18" t="s">
        <v>38</v>
      </c>
      <c r="AG12" s="18" t="s">
        <v>38</v>
      </c>
      <c r="AH12" s="18" t="s">
        <v>38</v>
      </c>
      <c r="AI12" s="18" t="str">
        <f t="shared" si="3"/>
        <v>WO</v>
      </c>
      <c r="AJ12" s="18" t="s">
        <v>38</v>
      </c>
      <c r="AK12" s="18" t="s">
        <v>39</v>
      </c>
      <c r="AL12" s="18" t="s">
        <v>38</v>
      </c>
      <c r="AM12" s="18" t="s">
        <v>38</v>
      </c>
      <c r="AN12" s="19" t="s">
        <v>38</v>
      </c>
      <c r="AO12" s="32"/>
      <c r="AP12" s="34"/>
      <c r="AQ12" s="9">
        <v>4</v>
      </c>
      <c r="AR12" s="9">
        <v>1004</v>
      </c>
      <c r="AS12" s="9" t="str">
        <f t="shared" si="8"/>
        <v>October</v>
      </c>
      <c r="AT12" s="15" t="s">
        <v>6</v>
      </c>
      <c r="AU12" s="28">
        <f t="shared" si="4"/>
        <v>22</v>
      </c>
      <c r="AV12">
        <f t="shared" si="5"/>
        <v>5</v>
      </c>
      <c r="AW12">
        <f t="shared" si="6"/>
        <v>0</v>
      </c>
      <c r="AX12">
        <f t="shared" si="9"/>
        <v>4</v>
      </c>
      <c r="AY12" s="29">
        <f t="shared" si="10"/>
        <v>31</v>
      </c>
      <c r="AZ12" s="29">
        <f t="shared" si="11"/>
        <v>26</v>
      </c>
      <c r="BA12" s="30">
        <f t="shared" ca="1" si="12"/>
        <v>15950</v>
      </c>
      <c r="BB12" s="30">
        <f t="shared" ca="1" si="13"/>
        <v>613.46153846153845</v>
      </c>
      <c r="BC12" s="30">
        <f t="shared" ca="1" si="14"/>
        <v>3067.3076923076924</v>
      </c>
      <c r="BD12" s="30">
        <f t="shared" ca="1" si="15"/>
        <v>12882.692307692309</v>
      </c>
      <c r="BF12" s="34"/>
      <c r="BG12" s="31"/>
      <c r="BH12" s="31"/>
      <c r="BI12" s="31"/>
      <c r="BJ12" s="31"/>
    </row>
    <row r="13" spans="1:62" x14ac:dyDescent="0.3">
      <c r="C13" s="31"/>
      <c r="D13" s="31"/>
      <c r="E13" s="32"/>
      <c r="F13" s="8">
        <v>5</v>
      </c>
      <c r="G13" s="9">
        <v>1005</v>
      </c>
      <c r="H13" s="15" t="s">
        <v>7</v>
      </c>
      <c r="I13" s="17">
        <f t="shared" si="7"/>
        <v>4</v>
      </c>
      <c r="J13" s="18" t="s">
        <v>38</v>
      </c>
      <c r="K13" s="18" t="s">
        <v>38</v>
      </c>
      <c r="L13" s="18" t="s">
        <v>39</v>
      </c>
      <c r="M13" s="18" t="s">
        <v>38</v>
      </c>
      <c r="N13" s="18" t="str">
        <f t="shared" si="3"/>
        <v>WO</v>
      </c>
      <c r="O13" s="18" t="s">
        <v>38</v>
      </c>
      <c r="P13" s="18" t="s">
        <v>38</v>
      </c>
      <c r="Q13" s="18" t="s">
        <v>39</v>
      </c>
      <c r="R13" s="18" t="s">
        <v>38</v>
      </c>
      <c r="S13" s="18" t="s">
        <v>39</v>
      </c>
      <c r="T13" s="18" t="s">
        <v>39</v>
      </c>
      <c r="U13" s="18" t="str">
        <f t="shared" si="3"/>
        <v>WO</v>
      </c>
      <c r="V13" s="18" t="s">
        <v>38</v>
      </c>
      <c r="W13" s="18" t="s">
        <v>38</v>
      </c>
      <c r="X13" s="18" t="s">
        <v>39</v>
      </c>
      <c r="Y13" s="18" t="s">
        <v>38</v>
      </c>
      <c r="Z13" s="18" t="s">
        <v>39</v>
      </c>
      <c r="AA13" s="18" t="s">
        <v>39</v>
      </c>
      <c r="AB13" s="18" t="str">
        <f t="shared" si="3"/>
        <v>WO</v>
      </c>
      <c r="AC13" s="18" t="s">
        <v>38</v>
      </c>
      <c r="AD13" s="18" t="s">
        <v>38</v>
      </c>
      <c r="AE13" s="18" t="s">
        <v>39</v>
      </c>
      <c r="AF13" s="18" t="s">
        <v>38</v>
      </c>
      <c r="AG13" s="18" t="s">
        <v>39</v>
      </c>
      <c r="AH13" s="18" t="s">
        <v>39</v>
      </c>
      <c r="AI13" s="18" t="str">
        <f t="shared" si="3"/>
        <v>WO</v>
      </c>
      <c r="AJ13" s="18" t="s">
        <v>38</v>
      </c>
      <c r="AK13" s="18" t="s">
        <v>38</v>
      </c>
      <c r="AL13" s="18" t="s">
        <v>39</v>
      </c>
      <c r="AM13" s="18" t="s">
        <v>38</v>
      </c>
      <c r="AN13" s="19" t="s">
        <v>39</v>
      </c>
      <c r="AO13" s="32"/>
      <c r="AP13" s="34"/>
      <c r="AQ13" s="9">
        <v>5</v>
      </c>
      <c r="AR13" s="9">
        <v>1005</v>
      </c>
      <c r="AS13" s="9" t="str">
        <f t="shared" si="8"/>
        <v>October</v>
      </c>
      <c r="AT13" s="15" t="s">
        <v>7</v>
      </c>
      <c r="AU13" s="28">
        <f t="shared" si="4"/>
        <v>15</v>
      </c>
      <c r="AV13">
        <f t="shared" si="5"/>
        <v>12</v>
      </c>
      <c r="AW13">
        <f t="shared" si="6"/>
        <v>0</v>
      </c>
      <c r="AX13">
        <f t="shared" si="9"/>
        <v>4</v>
      </c>
      <c r="AY13" s="29">
        <f t="shared" si="10"/>
        <v>31</v>
      </c>
      <c r="AZ13" s="29">
        <f t="shared" si="11"/>
        <v>19</v>
      </c>
      <c r="BA13" s="30">
        <f t="shared" ca="1" si="12"/>
        <v>42239</v>
      </c>
      <c r="BB13" s="30">
        <f t="shared" ca="1" si="13"/>
        <v>2223.1052631578946</v>
      </c>
      <c r="BC13" s="30">
        <f t="shared" ca="1" si="14"/>
        <v>26677.263157894733</v>
      </c>
      <c r="BD13" s="30">
        <f t="shared" ca="1" si="15"/>
        <v>15561.736842105267</v>
      </c>
      <c r="BF13" s="34"/>
      <c r="BG13" s="31"/>
      <c r="BH13" s="31"/>
      <c r="BI13" s="31"/>
      <c r="BJ13" s="31"/>
    </row>
    <row r="14" spans="1:62" x14ac:dyDescent="0.3">
      <c r="C14" s="31"/>
      <c r="D14" s="31"/>
      <c r="E14" s="32"/>
      <c r="F14" s="8">
        <v>6</v>
      </c>
      <c r="G14" s="9">
        <v>1006</v>
      </c>
      <c r="H14" s="15" t="s">
        <v>8</v>
      </c>
      <c r="I14" s="17">
        <f t="shared" si="7"/>
        <v>4</v>
      </c>
      <c r="J14" s="18" t="s">
        <v>38</v>
      </c>
      <c r="K14" s="18" t="s">
        <v>38</v>
      </c>
      <c r="L14" s="18" t="s">
        <v>39</v>
      </c>
      <c r="M14" s="18" t="s">
        <v>38</v>
      </c>
      <c r="N14" s="18" t="str">
        <f t="shared" si="3"/>
        <v>WO</v>
      </c>
      <c r="O14" s="18" t="s">
        <v>38</v>
      </c>
      <c r="P14" s="18" t="s">
        <v>38</v>
      </c>
      <c r="Q14" s="18" t="s">
        <v>39</v>
      </c>
      <c r="R14" s="18" t="s">
        <v>38</v>
      </c>
      <c r="S14" s="18" t="s">
        <v>38</v>
      </c>
      <c r="T14" s="18" t="s">
        <v>38</v>
      </c>
      <c r="U14" s="18" t="str">
        <f t="shared" si="3"/>
        <v>WO</v>
      </c>
      <c r="V14" s="18" t="s">
        <v>38</v>
      </c>
      <c r="W14" s="18" t="s">
        <v>38</v>
      </c>
      <c r="X14" s="18" t="s">
        <v>39</v>
      </c>
      <c r="Y14" s="18" t="s">
        <v>38</v>
      </c>
      <c r="Z14" s="18" t="s">
        <v>38</v>
      </c>
      <c r="AA14" s="18" t="s">
        <v>38</v>
      </c>
      <c r="AB14" s="18" t="str">
        <f t="shared" si="3"/>
        <v>WO</v>
      </c>
      <c r="AC14" s="18" t="s">
        <v>38</v>
      </c>
      <c r="AD14" s="18" t="s">
        <v>38</v>
      </c>
      <c r="AE14" s="18" t="s">
        <v>39</v>
      </c>
      <c r="AF14" s="18" t="s">
        <v>38</v>
      </c>
      <c r="AG14" s="18" t="s">
        <v>38</v>
      </c>
      <c r="AH14" s="18" t="s">
        <v>38</v>
      </c>
      <c r="AI14" s="18" t="str">
        <f t="shared" si="3"/>
        <v>WO</v>
      </c>
      <c r="AJ14" s="18" t="s">
        <v>38</v>
      </c>
      <c r="AK14" s="18" t="s">
        <v>38</v>
      </c>
      <c r="AL14" s="18" t="s">
        <v>39</v>
      </c>
      <c r="AM14" s="18" t="s">
        <v>38</v>
      </c>
      <c r="AN14" s="19" t="s">
        <v>38</v>
      </c>
      <c r="AO14" s="32"/>
      <c r="AP14" s="34"/>
      <c r="AQ14" s="9">
        <v>6</v>
      </c>
      <c r="AR14" s="9">
        <v>1006</v>
      </c>
      <c r="AS14" s="9" t="str">
        <f t="shared" si="8"/>
        <v>October</v>
      </c>
      <c r="AT14" s="15" t="s">
        <v>8</v>
      </c>
      <c r="AU14" s="28">
        <f t="shared" si="4"/>
        <v>22</v>
      </c>
      <c r="AV14">
        <f t="shared" si="5"/>
        <v>5</v>
      </c>
      <c r="AW14">
        <f t="shared" si="6"/>
        <v>0</v>
      </c>
      <c r="AX14">
        <f t="shared" si="9"/>
        <v>4</v>
      </c>
      <c r="AY14" s="29">
        <f t="shared" si="10"/>
        <v>31</v>
      </c>
      <c r="AZ14" s="29">
        <f t="shared" si="11"/>
        <v>26</v>
      </c>
      <c r="BA14" s="30">
        <f t="shared" ca="1" si="12"/>
        <v>34744</v>
      </c>
      <c r="BB14" s="30">
        <f t="shared" ca="1" si="13"/>
        <v>1336.3076923076924</v>
      </c>
      <c r="BC14" s="30">
        <f t="shared" ca="1" si="14"/>
        <v>6681.5384615384619</v>
      </c>
      <c r="BD14" s="30">
        <f t="shared" ca="1" si="15"/>
        <v>28062.461538461539</v>
      </c>
      <c r="BF14" s="34"/>
      <c r="BG14" s="31"/>
      <c r="BH14" s="31"/>
      <c r="BI14" s="31"/>
      <c r="BJ14" s="31"/>
    </row>
    <row r="15" spans="1:62" x14ac:dyDescent="0.3">
      <c r="C15" s="31"/>
      <c r="D15" s="31"/>
      <c r="E15" s="32"/>
      <c r="F15" s="8">
        <v>7</v>
      </c>
      <c r="G15" s="9">
        <v>1007</v>
      </c>
      <c r="H15" s="15" t="s">
        <v>9</v>
      </c>
      <c r="I15" s="17">
        <f t="shared" si="7"/>
        <v>4</v>
      </c>
      <c r="J15" s="18" t="s">
        <v>38</v>
      </c>
      <c r="K15" s="18" t="s">
        <v>38</v>
      </c>
      <c r="L15" s="18" t="s">
        <v>38</v>
      </c>
      <c r="M15" s="18" t="s">
        <v>38</v>
      </c>
      <c r="N15" s="18" t="str">
        <f t="shared" si="3"/>
        <v>WO</v>
      </c>
      <c r="O15" s="18" t="s">
        <v>38</v>
      </c>
      <c r="P15" s="18" t="s">
        <v>38</v>
      </c>
      <c r="Q15" s="18" t="s">
        <v>38</v>
      </c>
      <c r="R15" s="18" t="s">
        <v>38</v>
      </c>
      <c r="S15" s="18" t="s">
        <v>38</v>
      </c>
      <c r="T15" s="18" t="s">
        <v>38</v>
      </c>
      <c r="U15" s="18" t="str">
        <f t="shared" si="3"/>
        <v>WO</v>
      </c>
      <c r="V15" s="18" t="s">
        <v>38</v>
      </c>
      <c r="W15" s="18" t="s">
        <v>38</v>
      </c>
      <c r="X15" s="18" t="s">
        <v>38</v>
      </c>
      <c r="Y15" s="18" t="s">
        <v>38</v>
      </c>
      <c r="Z15" s="18" t="s">
        <v>38</v>
      </c>
      <c r="AA15" s="18" t="s">
        <v>38</v>
      </c>
      <c r="AB15" s="18" t="str">
        <f t="shared" si="3"/>
        <v>WO</v>
      </c>
      <c r="AC15" s="18" t="s">
        <v>38</v>
      </c>
      <c r="AD15" s="18" t="s">
        <v>38</v>
      </c>
      <c r="AE15" s="18" t="s">
        <v>38</v>
      </c>
      <c r="AF15" s="18" t="s">
        <v>38</v>
      </c>
      <c r="AG15" s="18" t="s">
        <v>38</v>
      </c>
      <c r="AH15" s="18" t="s">
        <v>38</v>
      </c>
      <c r="AI15" s="18" t="str">
        <f t="shared" si="3"/>
        <v>WO</v>
      </c>
      <c r="AJ15" s="18" t="s">
        <v>38</v>
      </c>
      <c r="AK15" s="18" t="s">
        <v>38</v>
      </c>
      <c r="AL15" s="18" t="s">
        <v>38</v>
      </c>
      <c r="AM15" s="18" t="s">
        <v>38</v>
      </c>
      <c r="AN15" s="19" t="s">
        <v>38</v>
      </c>
      <c r="AO15" s="32"/>
      <c r="AP15" s="34"/>
      <c r="AQ15" s="9">
        <v>7</v>
      </c>
      <c r="AR15" s="9">
        <v>1007</v>
      </c>
      <c r="AS15" s="9" t="str">
        <f t="shared" si="8"/>
        <v>October</v>
      </c>
      <c r="AT15" s="15" t="s">
        <v>9</v>
      </c>
      <c r="AU15" s="28">
        <f t="shared" si="4"/>
        <v>27</v>
      </c>
      <c r="AV15">
        <f t="shared" si="5"/>
        <v>0</v>
      </c>
      <c r="AW15">
        <f t="shared" si="6"/>
        <v>0</v>
      </c>
      <c r="AX15">
        <f t="shared" si="9"/>
        <v>4</v>
      </c>
      <c r="AY15" s="29">
        <f t="shared" si="10"/>
        <v>31</v>
      </c>
      <c r="AZ15" s="29">
        <f t="shared" si="11"/>
        <v>31</v>
      </c>
      <c r="BA15" s="30">
        <f t="shared" ca="1" si="12"/>
        <v>35565</v>
      </c>
      <c r="BB15" s="30">
        <f t="shared" ca="1" si="13"/>
        <v>1147.258064516129</v>
      </c>
      <c r="BC15" s="30">
        <f t="shared" ca="1" si="14"/>
        <v>0</v>
      </c>
      <c r="BD15" s="30">
        <f t="shared" ca="1" si="15"/>
        <v>35565</v>
      </c>
      <c r="BF15" s="34"/>
      <c r="BG15" s="31"/>
      <c r="BH15" s="31"/>
      <c r="BI15" s="31"/>
      <c r="BJ15" s="31"/>
    </row>
    <row r="16" spans="1:62" x14ac:dyDescent="0.3">
      <c r="C16" s="31"/>
      <c r="D16" s="31"/>
      <c r="E16" s="32"/>
      <c r="F16" s="8">
        <v>8</v>
      </c>
      <c r="G16" s="9">
        <v>1008</v>
      </c>
      <c r="H16" s="15" t="s">
        <v>10</v>
      </c>
      <c r="I16" s="17">
        <f t="shared" si="7"/>
        <v>4</v>
      </c>
      <c r="J16" s="18" t="s">
        <v>38</v>
      </c>
      <c r="K16" s="18" t="s">
        <v>39</v>
      </c>
      <c r="L16" s="18" t="s">
        <v>38</v>
      </c>
      <c r="M16" s="18" t="s">
        <v>38</v>
      </c>
      <c r="N16" s="18" t="str">
        <f t="shared" si="3"/>
        <v>WO</v>
      </c>
      <c r="O16" s="18" t="s">
        <v>38</v>
      </c>
      <c r="P16" s="18" t="s">
        <v>39</v>
      </c>
      <c r="Q16" s="18" t="s">
        <v>38</v>
      </c>
      <c r="R16" s="18" t="s">
        <v>38</v>
      </c>
      <c r="S16" s="18" t="s">
        <v>39</v>
      </c>
      <c r="T16" s="18" t="s">
        <v>39</v>
      </c>
      <c r="U16" s="18" t="str">
        <f t="shared" si="3"/>
        <v>WO</v>
      </c>
      <c r="V16" s="18" t="s">
        <v>38</v>
      </c>
      <c r="W16" s="18" t="s">
        <v>39</v>
      </c>
      <c r="X16" s="18" t="s">
        <v>38</v>
      </c>
      <c r="Y16" s="18" t="s">
        <v>38</v>
      </c>
      <c r="Z16" s="18" t="s">
        <v>39</v>
      </c>
      <c r="AA16" s="18" t="s">
        <v>39</v>
      </c>
      <c r="AB16" s="18" t="str">
        <f t="shared" si="3"/>
        <v>WO</v>
      </c>
      <c r="AC16" s="18" t="s">
        <v>38</v>
      </c>
      <c r="AD16" s="18" t="s">
        <v>39</v>
      </c>
      <c r="AE16" s="18" t="s">
        <v>38</v>
      </c>
      <c r="AF16" s="18" t="s">
        <v>38</v>
      </c>
      <c r="AG16" s="18" t="s">
        <v>39</v>
      </c>
      <c r="AH16" s="18" t="s">
        <v>39</v>
      </c>
      <c r="AI16" s="18" t="str">
        <f t="shared" si="3"/>
        <v>WO</v>
      </c>
      <c r="AJ16" s="18" t="s">
        <v>38</v>
      </c>
      <c r="AK16" s="18" t="s">
        <v>39</v>
      </c>
      <c r="AL16" s="18" t="s">
        <v>38</v>
      </c>
      <c r="AM16" s="18" t="s">
        <v>38</v>
      </c>
      <c r="AN16" s="19" t="s">
        <v>39</v>
      </c>
      <c r="AO16" s="32"/>
      <c r="AP16" s="34"/>
      <c r="AQ16" s="9">
        <v>8</v>
      </c>
      <c r="AR16" s="9">
        <v>1008</v>
      </c>
      <c r="AS16" s="9" t="str">
        <f t="shared" si="8"/>
        <v>October</v>
      </c>
      <c r="AT16" s="15" t="s">
        <v>10</v>
      </c>
      <c r="AU16" s="28">
        <f t="shared" si="4"/>
        <v>15</v>
      </c>
      <c r="AV16">
        <f t="shared" si="5"/>
        <v>12</v>
      </c>
      <c r="AW16">
        <f t="shared" si="6"/>
        <v>0</v>
      </c>
      <c r="AX16">
        <f t="shared" si="9"/>
        <v>4</v>
      </c>
      <c r="AY16" s="29">
        <f t="shared" si="10"/>
        <v>31</v>
      </c>
      <c r="AZ16" s="29">
        <f t="shared" si="11"/>
        <v>19</v>
      </c>
      <c r="BA16" s="30">
        <f t="shared" ca="1" si="12"/>
        <v>23514</v>
      </c>
      <c r="BB16" s="30">
        <f t="shared" ca="1" si="13"/>
        <v>1237.578947368421</v>
      </c>
      <c r="BC16" s="30">
        <f t="shared" ca="1" si="14"/>
        <v>14850.947368421053</v>
      </c>
      <c r="BD16" s="30">
        <f t="shared" ca="1" si="15"/>
        <v>8663.0526315789466</v>
      </c>
      <c r="BF16" s="34"/>
      <c r="BG16" s="31"/>
      <c r="BH16" s="31"/>
      <c r="BI16" s="31"/>
      <c r="BJ16" s="31"/>
    </row>
    <row r="17" spans="1:62" x14ac:dyDescent="0.3">
      <c r="C17" s="31"/>
      <c r="D17" s="31"/>
      <c r="E17" s="32"/>
      <c r="F17" s="8">
        <v>9</v>
      </c>
      <c r="G17" s="9">
        <v>1009</v>
      </c>
      <c r="H17" s="15" t="s">
        <v>11</v>
      </c>
      <c r="I17" s="17">
        <f t="shared" si="7"/>
        <v>4</v>
      </c>
      <c r="J17" s="18" t="s">
        <v>38</v>
      </c>
      <c r="K17" s="18" t="s">
        <v>38</v>
      </c>
      <c r="L17" s="18" t="s">
        <v>38</v>
      </c>
      <c r="M17" s="18" t="s">
        <v>38</v>
      </c>
      <c r="N17" s="18" t="str">
        <f t="shared" si="3"/>
        <v>WO</v>
      </c>
      <c r="O17" s="18" t="s">
        <v>38</v>
      </c>
      <c r="P17" s="18" t="s">
        <v>38</v>
      </c>
      <c r="Q17" s="18" t="s">
        <v>38</v>
      </c>
      <c r="R17" s="18" t="s">
        <v>38</v>
      </c>
      <c r="S17" s="18" t="s">
        <v>38</v>
      </c>
      <c r="T17" s="18" t="s">
        <v>38</v>
      </c>
      <c r="U17" s="18" t="str">
        <f t="shared" si="3"/>
        <v>WO</v>
      </c>
      <c r="V17" s="18" t="s">
        <v>38</v>
      </c>
      <c r="W17" s="18" t="s">
        <v>38</v>
      </c>
      <c r="X17" s="18" t="s">
        <v>38</v>
      </c>
      <c r="Y17" s="18" t="s">
        <v>38</v>
      </c>
      <c r="Z17" s="18" t="s">
        <v>38</v>
      </c>
      <c r="AA17" s="18" t="s">
        <v>38</v>
      </c>
      <c r="AB17" s="18" t="str">
        <f t="shared" ref="AB17:AI28" si="16">IF(AB$7="Sun","WO","")</f>
        <v>WO</v>
      </c>
      <c r="AC17" s="18" t="s">
        <v>38</v>
      </c>
      <c r="AD17" s="18" t="s">
        <v>38</v>
      </c>
      <c r="AE17" s="18" t="s">
        <v>38</v>
      </c>
      <c r="AF17" s="18" t="s">
        <v>38</v>
      </c>
      <c r="AG17" s="18" t="s">
        <v>38</v>
      </c>
      <c r="AH17" s="18" t="s">
        <v>38</v>
      </c>
      <c r="AI17" s="18" t="str">
        <f t="shared" si="16"/>
        <v>WO</v>
      </c>
      <c r="AJ17" s="18" t="s">
        <v>38</v>
      </c>
      <c r="AK17" s="18" t="s">
        <v>38</v>
      </c>
      <c r="AL17" s="18" t="s">
        <v>38</v>
      </c>
      <c r="AM17" s="18" t="s">
        <v>38</v>
      </c>
      <c r="AN17" s="19" t="s">
        <v>38</v>
      </c>
      <c r="AO17" s="32"/>
      <c r="AP17" s="34"/>
      <c r="AQ17" s="9">
        <v>9</v>
      </c>
      <c r="AR17" s="9">
        <v>1009</v>
      </c>
      <c r="AS17" s="9" t="str">
        <f t="shared" si="8"/>
        <v>October</v>
      </c>
      <c r="AT17" s="15" t="s">
        <v>11</v>
      </c>
      <c r="AU17" s="28">
        <f t="shared" si="4"/>
        <v>27</v>
      </c>
      <c r="AV17">
        <f t="shared" si="5"/>
        <v>0</v>
      </c>
      <c r="AW17">
        <f t="shared" si="6"/>
        <v>0</v>
      </c>
      <c r="AX17">
        <f t="shared" si="9"/>
        <v>4</v>
      </c>
      <c r="AY17" s="29">
        <f t="shared" si="10"/>
        <v>31</v>
      </c>
      <c r="AZ17" s="29">
        <f t="shared" si="11"/>
        <v>31</v>
      </c>
      <c r="BA17" s="30">
        <f t="shared" ca="1" si="12"/>
        <v>18672</v>
      </c>
      <c r="BB17" s="30">
        <f t="shared" ca="1" si="13"/>
        <v>602.32258064516134</v>
      </c>
      <c r="BC17" s="30">
        <f t="shared" ca="1" si="14"/>
        <v>0</v>
      </c>
      <c r="BD17" s="30">
        <f t="shared" ca="1" si="15"/>
        <v>18672</v>
      </c>
      <c r="BF17" s="34"/>
      <c r="BG17" s="31"/>
      <c r="BH17" s="31"/>
      <c r="BI17" s="31"/>
      <c r="BJ17" s="31"/>
    </row>
    <row r="18" spans="1:62" x14ac:dyDescent="0.3">
      <c r="C18" s="31"/>
      <c r="D18" s="31"/>
      <c r="E18" s="32"/>
      <c r="F18" s="8">
        <v>10</v>
      </c>
      <c r="G18" s="9">
        <v>1010</v>
      </c>
      <c r="H18" s="15" t="s">
        <v>12</v>
      </c>
      <c r="I18" s="17">
        <f t="shared" si="7"/>
        <v>4</v>
      </c>
      <c r="J18" s="18" t="s">
        <v>38</v>
      </c>
      <c r="K18" s="18" t="s">
        <v>38</v>
      </c>
      <c r="L18" s="18" t="s">
        <v>39</v>
      </c>
      <c r="M18" s="18" t="s">
        <v>38</v>
      </c>
      <c r="N18" s="18" t="str">
        <f t="shared" ref="N18:U28" si="17">IF(N$7="Sun","WO","")</f>
        <v>WO</v>
      </c>
      <c r="O18" s="18" t="s">
        <v>38</v>
      </c>
      <c r="P18" s="18" t="s">
        <v>38</v>
      </c>
      <c r="Q18" s="18" t="s">
        <v>39</v>
      </c>
      <c r="R18" s="18" t="s">
        <v>38</v>
      </c>
      <c r="S18" s="18" t="s">
        <v>38</v>
      </c>
      <c r="T18" s="18" t="s">
        <v>38</v>
      </c>
      <c r="U18" s="18" t="str">
        <f t="shared" si="17"/>
        <v>WO</v>
      </c>
      <c r="V18" s="18" t="s">
        <v>38</v>
      </c>
      <c r="W18" s="18" t="s">
        <v>38</v>
      </c>
      <c r="X18" s="18" t="s">
        <v>39</v>
      </c>
      <c r="Y18" s="18" t="s">
        <v>38</v>
      </c>
      <c r="Z18" s="18" t="s">
        <v>38</v>
      </c>
      <c r="AA18" s="18" t="s">
        <v>38</v>
      </c>
      <c r="AB18" s="18" t="str">
        <f t="shared" si="16"/>
        <v>WO</v>
      </c>
      <c r="AC18" s="18" t="s">
        <v>38</v>
      </c>
      <c r="AD18" s="18" t="s">
        <v>38</v>
      </c>
      <c r="AE18" s="18" t="s">
        <v>39</v>
      </c>
      <c r="AF18" s="18" t="s">
        <v>38</v>
      </c>
      <c r="AG18" s="18" t="s">
        <v>38</v>
      </c>
      <c r="AH18" s="18" t="s">
        <v>38</v>
      </c>
      <c r="AI18" s="18" t="str">
        <f t="shared" si="16"/>
        <v>WO</v>
      </c>
      <c r="AJ18" s="18" t="s">
        <v>38</v>
      </c>
      <c r="AK18" s="18" t="s">
        <v>38</v>
      </c>
      <c r="AL18" s="18" t="s">
        <v>39</v>
      </c>
      <c r="AM18" s="18" t="s">
        <v>38</v>
      </c>
      <c r="AN18" s="19" t="s">
        <v>38</v>
      </c>
      <c r="AO18" s="32"/>
      <c r="AP18" s="34"/>
      <c r="AQ18" s="9">
        <v>10</v>
      </c>
      <c r="AR18" s="9">
        <v>1010</v>
      </c>
      <c r="AS18" s="9" t="str">
        <f t="shared" si="8"/>
        <v>October</v>
      </c>
      <c r="AT18" s="15" t="s">
        <v>12</v>
      </c>
      <c r="AU18" s="28">
        <f t="shared" si="4"/>
        <v>22</v>
      </c>
      <c r="AV18">
        <f t="shared" si="5"/>
        <v>5</v>
      </c>
      <c r="AW18">
        <f t="shared" si="6"/>
        <v>0</v>
      </c>
      <c r="AX18">
        <f t="shared" si="9"/>
        <v>4</v>
      </c>
      <c r="AY18" s="29">
        <f t="shared" si="10"/>
        <v>31</v>
      </c>
      <c r="AZ18" s="29">
        <f t="shared" si="11"/>
        <v>26</v>
      </c>
      <c r="BA18" s="30">
        <f t="shared" ca="1" si="12"/>
        <v>46177</v>
      </c>
      <c r="BB18" s="30">
        <f t="shared" ca="1" si="13"/>
        <v>1776.0384615384614</v>
      </c>
      <c r="BC18" s="30">
        <f t="shared" ca="1" si="14"/>
        <v>8880.1923076923067</v>
      </c>
      <c r="BD18" s="30">
        <f t="shared" ca="1" si="15"/>
        <v>37296.807692307695</v>
      </c>
      <c r="BF18" s="34"/>
      <c r="BG18" s="31"/>
      <c r="BH18" s="31"/>
      <c r="BI18" s="31"/>
      <c r="BJ18" s="31"/>
    </row>
    <row r="19" spans="1:62" x14ac:dyDescent="0.3">
      <c r="C19" s="31"/>
      <c r="D19" s="31"/>
      <c r="E19" s="32"/>
      <c r="F19" s="8">
        <v>11</v>
      </c>
      <c r="G19" s="9">
        <v>1011</v>
      </c>
      <c r="H19" s="15" t="s">
        <v>13</v>
      </c>
      <c r="I19" s="17">
        <f t="shared" si="7"/>
        <v>4</v>
      </c>
      <c r="J19" s="18" t="s">
        <v>38</v>
      </c>
      <c r="K19" s="18" t="s">
        <v>38</v>
      </c>
      <c r="L19" s="18" t="s">
        <v>38</v>
      </c>
      <c r="M19" s="18" t="s">
        <v>38</v>
      </c>
      <c r="N19" s="18" t="str">
        <f t="shared" si="17"/>
        <v>WO</v>
      </c>
      <c r="O19" s="18" t="s">
        <v>38</v>
      </c>
      <c r="P19" s="18" t="s">
        <v>38</v>
      </c>
      <c r="Q19" s="18" t="s">
        <v>38</v>
      </c>
      <c r="R19" s="18" t="s">
        <v>38</v>
      </c>
      <c r="S19" s="18" t="s">
        <v>38</v>
      </c>
      <c r="T19" s="18" t="s">
        <v>38</v>
      </c>
      <c r="U19" s="18" t="str">
        <f t="shared" si="17"/>
        <v>WO</v>
      </c>
      <c r="V19" s="18" t="s">
        <v>38</v>
      </c>
      <c r="W19" s="18" t="s">
        <v>38</v>
      </c>
      <c r="X19" s="18" t="s">
        <v>38</v>
      </c>
      <c r="Y19" s="18" t="s">
        <v>38</v>
      </c>
      <c r="Z19" s="18" t="s">
        <v>38</v>
      </c>
      <c r="AA19" s="18" t="s">
        <v>38</v>
      </c>
      <c r="AB19" s="18" t="str">
        <f t="shared" si="16"/>
        <v>WO</v>
      </c>
      <c r="AC19" s="18" t="s">
        <v>38</v>
      </c>
      <c r="AD19" s="18" t="s">
        <v>38</v>
      </c>
      <c r="AE19" s="18" t="s">
        <v>38</v>
      </c>
      <c r="AF19" s="18" t="s">
        <v>38</v>
      </c>
      <c r="AG19" s="18" t="s">
        <v>38</v>
      </c>
      <c r="AH19" s="18" t="s">
        <v>38</v>
      </c>
      <c r="AI19" s="18" t="str">
        <f t="shared" si="16"/>
        <v>WO</v>
      </c>
      <c r="AJ19" s="18" t="s">
        <v>38</v>
      </c>
      <c r="AK19" s="18" t="s">
        <v>38</v>
      </c>
      <c r="AL19" s="18" t="s">
        <v>38</v>
      </c>
      <c r="AM19" s="18" t="s">
        <v>38</v>
      </c>
      <c r="AN19" s="19" t="s">
        <v>38</v>
      </c>
      <c r="AO19" s="32"/>
      <c r="AP19" s="34"/>
      <c r="AQ19" s="9">
        <v>11</v>
      </c>
      <c r="AR19" s="9">
        <v>1011</v>
      </c>
      <c r="AS19" s="9" t="str">
        <f t="shared" si="8"/>
        <v>October</v>
      </c>
      <c r="AT19" s="15" t="s">
        <v>13</v>
      </c>
      <c r="AU19" s="28">
        <f t="shared" si="4"/>
        <v>27</v>
      </c>
      <c r="AV19">
        <f t="shared" si="5"/>
        <v>0</v>
      </c>
      <c r="AW19">
        <f t="shared" si="6"/>
        <v>0</v>
      </c>
      <c r="AX19">
        <f t="shared" si="9"/>
        <v>4</v>
      </c>
      <c r="AY19" s="29">
        <f t="shared" si="10"/>
        <v>31</v>
      </c>
      <c r="AZ19" s="29">
        <f t="shared" si="11"/>
        <v>31</v>
      </c>
      <c r="BA19" s="30">
        <f t="shared" ca="1" si="12"/>
        <v>23984</v>
      </c>
      <c r="BB19" s="30">
        <f t="shared" ca="1" si="13"/>
        <v>773.67741935483866</v>
      </c>
      <c r="BC19" s="30">
        <f t="shared" ca="1" si="14"/>
        <v>0</v>
      </c>
      <c r="BD19" s="30">
        <f t="shared" ca="1" si="15"/>
        <v>23984</v>
      </c>
      <c r="BF19" s="34"/>
      <c r="BG19" s="31"/>
      <c r="BH19" s="31"/>
      <c r="BI19" s="31"/>
      <c r="BJ19" s="31"/>
    </row>
    <row r="20" spans="1:62" x14ac:dyDescent="0.3">
      <c r="C20" s="31"/>
      <c r="D20" s="31"/>
      <c r="E20" s="32"/>
      <c r="F20" s="8">
        <v>12</v>
      </c>
      <c r="G20" s="9">
        <v>1012</v>
      </c>
      <c r="H20" s="15" t="s">
        <v>14</v>
      </c>
      <c r="I20" s="17">
        <f t="shared" si="7"/>
        <v>4</v>
      </c>
      <c r="J20" s="18" t="s">
        <v>38</v>
      </c>
      <c r="K20" s="18" t="s">
        <v>38</v>
      </c>
      <c r="L20" s="18" t="s">
        <v>38</v>
      </c>
      <c r="M20" s="18" t="s">
        <v>38</v>
      </c>
      <c r="N20" s="18" t="str">
        <f t="shared" si="17"/>
        <v>WO</v>
      </c>
      <c r="O20" s="18" t="s">
        <v>38</v>
      </c>
      <c r="P20" s="18" t="s">
        <v>38</v>
      </c>
      <c r="Q20" s="18" t="s">
        <v>38</v>
      </c>
      <c r="R20" s="18" t="s">
        <v>38</v>
      </c>
      <c r="S20" s="18" t="s">
        <v>38</v>
      </c>
      <c r="T20" s="18" t="s">
        <v>38</v>
      </c>
      <c r="U20" s="18" t="str">
        <f t="shared" si="17"/>
        <v>WO</v>
      </c>
      <c r="V20" s="18" t="s">
        <v>38</v>
      </c>
      <c r="W20" s="18" t="s">
        <v>38</v>
      </c>
      <c r="X20" s="18" t="s">
        <v>38</v>
      </c>
      <c r="Y20" s="18" t="s">
        <v>38</v>
      </c>
      <c r="Z20" s="18" t="s">
        <v>38</v>
      </c>
      <c r="AA20" s="18" t="s">
        <v>38</v>
      </c>
      <c r="AB20" s="18" t="str">
        <f t="shared" si="16"/>
        <v>WO</v>
      </c>
      <c r="AC20" s="18" t="s">
        <v>38</v>
      </c>
      <c r="AD20" s="18" t="s">
        <v>38</v>
      </c>
      <c r="AE20" s="18" t="s">
        <v>38</v>
      </c>
      <c r="AF20" s="18" t="s">
        <v>38</v>
      </c>
      <c r="AG20" s="18" t="s">
        <v>38</v>
      </c>
      <c r="AH20" s="18" t="s">
        <v>38</v>
      </c>
      <c r="AI20" s="18" t="str">
        <f t="shared" si="16"/>
        <v>WO</v>
      </c>
      <c r="AJ20" s="18" t="s">
        <v>38</v>
      </c>
      <c r="AK20" s="18" t="s">
        <v>38</v>
      </c>
      <c r="AL20" s="18" t="s">
        <v>38</v>
      </c>
      <c r="AM20" s="18" t="s">
        <v>38</v>
      </c>
      <c r="AN20" s="19" t="s">
        <v>38</v>
      </c>
      <c r="AO20" s="32"/>
      <c r="AP20" s="34"/>
      <c r="AQ20" s="9">
        <v>12</v>
      </c>
      <c r="AR20" s="9">
        <v>1012</v>
      </c>
      <c r="AS20" s="9" t="str">
        <f t="shared" si="8"/>
        <v>October</v>
      </c>
      <c r="AT20" s="15" t="s">
        <v>14</v>
      </c>
      <c r="AU20" s="28">
        <f t="shared" si="4"/>
        <v>27</v>
      </c>
      <c r="AV20">
        <f t="shared" si="5"/>
        <v>0</v>
      </c>
      <c r="AW20">
        <f t="shared" si="6"/>
        <v>0</v>
      </c>
      <c r="AX20">
        <f t="shared" si="9"/>
        <v>4</v>
      </c>
      <c r="AY20" s="29">
        <f t="shared" si="10"/>
        <v>31</v>
      </c>
      <c r="AZ20" s="29">
        <f t="shared" si="11"/>
        <v>31</v>
      </c>
      <c r="BA20" s="30">
        <f t="shared" ca="1" si="12"/>
        <v>47126</v>
      </c>
      <c r="BB20" s="30">
        <f t="shared" ca="1" si="13"/>
        <v>1520.1935483870968</v>
      </c>
      <c r="BC20" s="30">
        <f t="shared" ca="1" si="14"/>
        <v>0</v>
      </c>
      <c r="BD20" s="30">
        <f t="shared" ca="1" si="15"/>
        <v>47126</v>
      </c>
      <c r="BF20" s="34"/>
      <c r="BG20" s="31"/>
      <c r="BH20" s="31"/>
      <c r="BI20" s="31"/>
      <c r="BJ20" s="31"/>
    </row>
    <row r="21" spans="1:62" x14ac:dyDescent="0.3">
      <c r="C21" s="31"/>
      <c r="D21" s="31"/>
      <c r="E21" s="32"/>
      <c r="F21" s="8">
        <v>13</v>
      </c>
      <c r="G21" s="9">
        <v>1013</v>
      </c>
      <c r="H21" s="15" t="s">
        <v>15</v>
      </c>
      <c r="I21" s="17">
        <f t="shared" si="7"/>
        <v>4</v>
      </c>
      <c r="J21" s="18" t="s">
        <v>38</v>
      </c>
      <c r="K21" s="18" t="s">
        <v>39</v>
      </c>
      <c r="L21" s="18" t="s">
        <v>38</v>
      </c>
      <c r="M21" s="18" t="s">
        <v>38</v>
      </c>
      <c r="N21" s="18" t="str">
        <f t="shared" si="17"/>
        <v>WO</v>
      </c>
      <c r="O21" s="18" t="s">
        <v>38</v>
      </c>
      <c r="P21" s="18" t="s">
        <v>39</v>
      </c>
      <c r="Q21" s="18" t="s">
        <v>38</v>
      </c>
      <c r="R21" s="18" t="s">
        <v>38</v>
      </c>
      <c r="S21" s="18" t="s">
        <v>38</v>
      </c>
      <c r="T21" s="18" t="s">
        <v>38</v>
      </c>
      <c r="U21" s="18" t="str">
        <f t="shared" si="17"/>
        <v>WO</v>
      </c>
      <c r="V21" s="18" t="s">
        <v>38</v>
      </c>
      <c r="W21" s="18" t="s">
        <v>39</v>
      </c>
      <c r="X21" s="18" t="s">
        <v>38</v>
      </c>
      <c r="Y21" s="18" t="s">
        <v>38</v>
      </c>
      <c r="Z21" s="18" t="s">
        <v>38</v>
      </c>
      <c r="AA21" s="18" t="s">
        <v>38</v>
      </c>
      <c r="AB21" s="18" t="str">
        <f t="shared" si="16"/>
        <v>WO</v>
      </c>
      <c r="AC21" s="18" t="s">
        <v>38</v>
      </c>
      <c r="AD21" s="18" t="s">
        <v>39</v>
      </c>
      <c r="AE21" s="18" t="s">
        <v>38</v>
      </c>
      <c r="AF21" s="18" t="s">
        <v>38</v>
      </c>
      <c r="AG21" s="18" t="s">
        <v>38</v>
      </c>
      <c r="AH21" s="18" t="s">
        <v>38</v>
      </c>
      <c r="AI21" s="18" t="str">
        <f t="shared" si="16"/>
        <v>WO</v>
      </c>
      <c r="AJ21" s="18" t="s">
        <v>38</v>
      </c>
      <c r="AK21" s="18" t="s">
        <v>39</v>
      </c>
      <c r="AL21" s="18" t="s">
        <v>38</v>
      </c>
      <c r="AM21" s="18" t="s">
        <v>38</v>
      </c>
      <c r="AN21" s="19" t="s">
        <v>38</v>
      </c>
      <c r="AO21" s="32"/>
      <c r="AP21" s="34"/>
      <c r="AQ21" s="9">
        <v>13</v>
      </c>
      <c r="AR21" s="9">
        <v>1013</v>
      </c>
      <c r="AS21" s="9" t="str">
        <f t="shared" si="8"/>
        <v>October</v>
      </c>
      <c r="AT21" s="15" t="s">
        <v>15</v>
      </c>
      <c r="AU21" s="28">
        <f t="shared" si="4"/>
        <v>22</v>
      </c>
      <c r="AV21">
        <f t="shared" si="5"/>
        <v>5</v>
      </c>
      <c r="AW21">
        <f t="shared" si="6"/>
        <v>0</v>
      </c>
      <c r="AX21">
        <f t="shared" si="9"/>
        <v>4</v>
      </c>
      <c r="AY21" s="29">
        <f t="shared" si="10"/>
        <v>31</v>
      </c>
      <c r="AZ21" s="29">
        <f t="shared" si="11"/>
        <v>26</v>
      </c>
      <c r="BA21" s="30">
        <f t="shared" ca="1" si="12"/>
        <v>15049</v>
      </c>
      <c r="BB21" s="30">
        <f t="shared" ca="1" si="13"/>
        <v>578.80769230769226</v>
      </c>
      <c r="BC21" s="30">
        <f t="shared" ca="1" si="14"/>
        <v>2894.0384615384614</v>
      </c>
      <c r="BD21" s="30">
        <f t="shared" ca="1" si="15"/>
        <v>12154.961538461539</v>
      </c>
      <c r="BF21" s="34"/>
      <c r="BG21" s="31"/>
      <c r="BH21" s="31"/>
      <c r="BI21" s="31"/>
      <c r="BJ21" s="31"/>
    </row>
    <row r="22" spans="1:62" x14ac:dyDescent="0.3">
      <c r="C22" s="31"/>
      <c r="D22" s="31"/>
      <c r="E22" s="32"/>
      <c r="F22" s="8">
        <v>14</v>
      </c>
      <c r="G22" s="9">
        <v>1014</v>
      </c>
      <c r="H22" s="15" t="s">
        <v>16</v>
      </c>
      <c r="I22" s="17">
        <f t="shared" si="7"/>
        <v>4</v>
      </c>
      <c r="J22" s="18" t="s">
        <v>38</v>
      </c>
      <c r="K22" s="18" t="s">
        <v>38</v>
      </c>
      <c r="L22" s="18" t="s">
        <v>38</v>
      </c>
      <c r="M22" s="18" t="s">
        <v>38</v>
      </c>
      <c r="N22" s="18" t="str">
        <f t="shared" si="17"/>
        <v>WO</v>
      </c>
      <c r="O22" s="18" t="s">
        <v>38</v>
      </c>
      <c r="P22" s="18" t="s">
        <v>38</v>
      </c>
      <c r="Q22" s="18" t="s">
        <v>38</v>
      </c>
      <c r="R22" s="18" t="s">
        <v>38</v>
      </c>
      <c r="S22" s="18" t="s">
        <v>38</v>
      </c>
      <c r="T22" s="18" t="s">
        <v>38</v>
      </c>
      <c r="U22" s="18" t="str">
        <f t="shared" si="17"/>
        <v>WO</v>
      </c>
      <c r="V22" s="18" t="s">
        <v>38</v>
      </c>
      <c r="W22" s="18" t="s">
        <v>38</v>
      </c>
      <c r="X22" s="18" t="s">
        <v>38</v>
      </c>
      <c r="Y22" s="18" t="s">
        <v>38</v>
      </c>
      <c r="Z22" s="18" t="s">
        <v>38</v>
      </c>
      <c r="AA22" s="18" t="s">
        <v>38</v>
      </c>
      <c r="AB22" s="18" t="str">
        <f t="shared" si="16"/>
        <v>WO</v>
      </c>
      <c r="AC22" s="18" t="s">
        <v>38</v>
      </c>
      <c r="AD22" s="18" t="s">
        <v>38</v>
      </c>
      <c r="AE22" s="18" t="s">
        <v>38</v>
      </c>
      <c r="AF22" s="18" t="s">
        <v>38</v>
      </c>
      <c r="AG22" s="18" t="s">
        <v>38</v>
      </c>
      <c r="AH22" s="18" t="s">
        <v>38</v>
      </c>
      <c r="AI22" s="18" t="str">
        <f t="shared" si="16"/>
        <v>WO</v>
      </c>
      <c r="AJ22" s="18" t="s">
        <v>38</v>
      </c>
      <c r="AK22" s="18" t="s">
        <v>38</v>
      </c>
      <c r="AL22" s="18" t="s">
        <v>38</v>
      </c>
      <c r="AM22" s="18" t="s">
        <v>38</v>
      </c>
      <c r="AN22" s="19" t="s">
        <v>38</v>
      </c>
      <c r="AO22" s="32"/>
      <c r="AP22" s="34"/>
      <c r="AQ22" s="9">
        <v>14</v>
      </c>
      <c r="AR22" s="9">
        <v>1014</v>
      </c>
      <c r="AS22" s="9" t="str">
        <f t="shared" si="8"/>
        <v>October</v>
      </c>
      <c r="AT22" s="15" t="s">
        <v>16</v>
      </c>
      <c r="AU22" s="28">
        <f t="shared" si="4"/>
        <v>27</v>
      </c>
      <c r="AV22">
        <f t="shared" si="5"/>
        <v>0</v>
      </c>
      <c r="AW22">
        <f t="shared" si="6"/>
        <v>0</v>
      </c>
      <c r="AX22">
        <f t="shared" si="9"/>
        <v>4</v>
      </c>
      <c r="AY22" s="29">
        <f t="shared" si="10"/>
        <v>31</v>
      </c>
      <c r="AZ22" s="29">
        <f t="shared" si="11"/>
        <v>31</v>
      </c>
      <c r="BA22" s="30">
        <f t="shared" ca="1" si="12"/>
        <v>16948</v>
      </c>
      <c r="BB22" s="30">
        <f t="shared" ca="1" si="13"/>
        <v>546.70967741935488</v>
      </c>
      <c r="BC22" s="30">
        <f t="shared" ca="1" si="14"/>
        <v>0</v>
      </c>
      <c r="BD22" s="30">
        <f t="shared" ca="1" si="15"/>
        <v>16948</v>
      </c>
      <c r="BF22" s="34"/>
      <c r="BG22" s="31"/>
      <c r="BH22" s="31"/>
      <c r="BI22" s="31"/>
      <c r="BJ22" s="31"/>
    </row>
    <row r="23" spans="1:62" x14ac:dyDescent="0.3">
      <c r="C23" s="31"/>
      <c r="D23" s="31"/>
      <c r="E23" s="32"/>
      <c r="F23" s="8">
        <v>15</v>
      </c>
      <c r="G23" s="9">
        <v>1015</v>
      </c>
      <c r="H23" s="15" t="s">
        <v>17</v>
      </c>
      <c r="I23" s="17">
        <f t="shared" si="7"/>
        <v>4</v>
      </c>
      <c r="J23" s="18" t="s">
        <v>38</v>
      </c>
      <c r="K23" s="18" t="s">
        <v>38</v>
      </c>
      <c r="L23" s="18" t="s">
        <v>38</v>
      </c>
      <c r="M23" s="18" t="s">
        <v>38</v>
      </c>
      <c r="N23" s="18" t="str">
        <f t="shared" si="17"/>
        <v>WO</v>
      </c>
      <c r="O23" s="18" t="s">
        <v>38</v>
      </c>
      <c r="P23" s="18" t="s">
        <v>38</v>
      </c>
      <c r="Q23" s="18" t="s">
        <v>38</v>
      </c>
      <c r="R23" s="18" t="s">
        <v>38</v>
      </c>
      <c r="S23" s="18" t="s">
        <v>38</v>
      </c>
      <c r="T23" s="18" t="s">
        <v>38</v>
      </c>
      <c r="U23" s="18" t="str">
        <f t="shared" si="17"/>
        <v>WO</v>
      </c>
      <c r="V23" s="18" t="s">
        <v>38</v>
      </c>
      <c r="W23" s="18" t="s">
        <v>38</v>
      </c>
      <c r="X23" s="18" t="s">
        <v>38</v>
      </c>
      <c r="Y23" s="18" t="s">
        <v>38</v>
      </c>
      <c r="Z23" s="18" t="s">
        <v>38</v>
      </c>
      <c r="AA23" s="18" t="s">
        <v>38</v>
      </c>
      <c r="AB23" s="18" t="str">
        <f t="shared" si="16"/>
        <v>WO</v>
      </c>
      <c r="AC23" s="18" t="s">
        <v>38</v>
      </c>
      <c r="AD23" s="18" t="s">
        <v>38</v>
      </c>
      <c r="AE23" s="18" t="s">
        <v>38</v>
      </c>
      <c r="AF23" s="18" t="s">
        <v>38</v>
      </c>
      <c r="AG23" s="18" t="s">
        <v>38</v>
      </c>
      <c r="AH23" s="18" t="s">
        <v>38</v>
      </c>
      <c r="AI23" s="18" t="str">
        <f t="shared" si="16"/>
        <v>WO</v>
      </c>
      <c r="AJ23" s="18" t="s">
        <v>38</v>
      </c>
      <c r="AK23" s="18" t="s">
        <v>38</v>
      </c>
      <c r="AL23" s="18" t="s">
        <v>38</v>
      </c>
      <c r="AM23" s="18" t="s">
        <v>38</v>
      </c>
      <c r="AN23" s="19" t="s">
        <v>38</v>
      </c>
      <c r="AO23" s="32"/>
      <c r="AP23" s="34"/>
      <c r="AQ23" s="9">
        <v>15</v>
      </c>
      <c r="AR23" s="9">
        <v>1015</v>
      </c>
      <c r="AS23" s="9" t="str">
        <f t="shared" si="8"/>
        <v>October</v>
      </c>
      <c r="AT23" s="15" t="s">
        <v>17</v>
      </c>
      <c r="AU23" s="28">
        <f t="shared" si="4"/>
        <v>27</v>
      </c>
      <c r="AV23">
        <f t="shared" si="5"/>
        <v>0</v>
      </c>
      <c r="AW23">
        <f t="shared" si="6"/>
        <v>0</v>
      </c>
      <c r="AX23">
        <f t="shared" si="9"/>
        <v>4</v>
      </c>
      <c r="AY23" s="29">
        <f t="shared" si="10"/>
        <v>31</v>
      </c>
      <c r="AZ23" s="29">
        <f t="shared" si="11"/>
        <v>31</v>
      </c>
      <c r="BA23" s="30">
        <f t="shared" ca="1" si="12"/>
        <v>11403</v>
      </c>
      <c r="BB23" s="30">
        <f t="shared" ca="1" si="13"/>
        <v>367.83870967741933</v>
      </c>
      <c r="BC23" s="30">
        <f t="shared" ca="1" si="14"/>
        <v>0</v>
      </c>
      <c r="BD23" s="30">
        <f t="shared" ca="1" si="15"/>
        <v>11403</v>
      </c>
      <c r="BF23" s="34"/>
      <c r="BG23" s="31"/>
      <c r="BH23" s="31"/>
      <c r="BI23" s="31"/>
      <c r="BJ23" s="31"/>
    </row>
    <row r="24" spans="1:62" x14ac:dyDescent="0.3">
      <c r="C24" s="31"/>
      <c r="D24" s="31"/>
      <c r="E24" s="32"/>
      <c r="F24" s="8">
        <v>16</v>
      </c>
      <c r="G24" s="9">
        <v>1016</v>
      </c>
      <c r="H24" s="15" t="s">
        <v>18</v>
      </c>
      <c r="I24" s="17">
        <f t="shared" si="7"/>
        <v>4</v>
      </c>
      <c r="J24" s="18" t="s">
        <v>38</v>
      </c>
      <c r="K24" s="18" t="s">
        <v>38</v>
      </c>
      <c r="L24" s="18" t="s">
        <v>39</v>
      </c>
      <c r="M24" s="18" t="s">
        <v>38</v>
      </c>
      <c r="N24" s="18" t="str">
        <f t="shared" si="17"/>
        <v>WO</v>
      </c>
      <c r="O24" s="18" t="s">
        <v>38</v>
      </c>
      <c r="P24" s="18" t="s">
        <v>38</v>
      </c>
      <c r="Q24" s="18" t="s">
        <v>39</v>
      </c>
      <c r="R24" s="18" t="s">
        <v>38</v>
      </c>
      <c r="S24" s="18" t="s">
        <v>38</v>
      </c>
      <c r="T24" s="18" t="s">
        <v>38</v>
      </c>
      <c r="U24" s="18" t="str">
        <f t="shared" si="17"/>
        <v>WO</v>
      </c>
      <c r="V24" s="18" t="s">
        <v>38</v>
      </c>
      <c r="W24" s="18" t="s">
        <v>38</v>
      </c>
      <c r="X24" s="18" t="s">
        <v>39</v>
      </c>
      <c r="Y24" s="18" t="s">
        <v>38</v>
      </c>
      <c r="Z24" s="18" t="s">
        <v>38</v>
      </c>
      <c r="AA24" s="18" t="s">
        <v>38</v>
      </c>
      <c r="AB24" s="18" t="str">
        <f t="shared" si="16"/>
        <v>WO</v>
      </c>
      <c r="AC24" s="18" t="s">
        <v>38</v>
      </c>
      <c r="AD24" s="18" t="s">
        <v>38</v>
      </c>
      <c r="AE24" s="18" t="s">
        <v>39</v>
      </c>
      <c r="AF24" s="18" t="s">
        <v>38</v>
      </c>
      <c r="AG24" s="18" t="s">
        <v>38</v>
      </c>
      <c r="AH24" s="18" t="s">
        <v>38</v>
      </c>
      <c r="AI24" s="18" t="str">
        <f t="shared" si="16"/>
        <v>WO</v>
      </c>
      <c r="AJ24" s="18" t="s">
        <v>38</v>
      </c>
      <c r="AK24" s="18" t="s">
        <v>38</v>
      </c>
      <c r="AL24" s="18" t="s">
        <v>39</v>
      </c>
      <c r="AM24" s="18" t="s">
        <v>38</v>
      </c>
      <c r="AN24" s="19" t="s">
        <v>38</v>
      </c>
      <c r="AO24" s="32"/>
      <c r="AP24" s="34"/>
      <c r="AQ24" s="9">
        <v>16</v>
      </c>
      <c r="AR24" s="9">
        <v>1016</v>
      </c>
      <c r="AS24" s="9" t="str">
        <f t="shared" si="8"/>
        <v>October</v>
      </c>
      <c r="AT24" s="15" t="s">
        <v>18</v>
      </c>
      <c r="AU24" s="28">
        <f t="shared" si="4"/>
        <v>22</v>
      </c>
      <c r="AV24">
        <f t="shared" si="5"/>
        <v>5</v>
      </c>
      <c r="AW24">
        <f t="shared" si="6"/>
        <v>0</v>
      </c>
      <c r="AX24">
        <f t="shared" si="9"/>
        <v>4</v>
      </c>
      <c r="AY24" s="29">
        <f t="shared" si="10"/>
        <v>31</v>
      </c>
      <c r="AZ24" s="29">
        <f t="shared" si="11"/>
        <v>26</v>
      </c>
      <c r="BA24" s="30">
        <f t="shared" ca="1" si="12"/>
        <v>47052</v>
      </c>
      <c r="BB24" s="30">
        <f t="shared" ca="1" si="13"/>
        <v>1809.6923076923076</v>
      </c>
      <c r="BC24" s="30">
        <f t="shared" ca="1" si="14"/>
        <v>9048.461538461539</v>
      </c>
      <c r="BD24" s="30">
        <f t="shared" ca="1" si="15"/>
        <v>38003.538461538461</v>
      </c>
      <c r="BF24" s="34"/>
      <c r="BG24" s="31"/>
      <c r="BH24" s="31"/>
      <c r="BI24" s="31"/>
      <c r="BJ24" s="31"/>
    </row>
    <row r="25" spans="1:62" x14ac:dyDescent="0.3">
      <c r="C25" s="31"/>
      <c r="D25" s="31"/>
      <c r="E25" s="32"/>
      <c r="F25" s="8">
        <v>17</v>
      </c>
      <c r="G25" s="9">
        <v>1017</v>
      </c>
      <c r="H25" s="15" t="s">
        <v>19</v>
      </c>
      <c r="I25" s="17">
        <f t="shared" si="7"/>
        <v>4</v>
      </c>
      <c r="J25" s="18" t="s">
        <v>39</v>
      </c>
      <c r="K25" s="18" t="s">
        <v>38</v>
      </c>
      <c r="L25" s="18" t="s">
        <v>38</v>
      </c>
      <c r="M25" s="18" t="s">
        <v>38</v>
      </c>
      <c r="N25" s="18" t="str">
        <f t="shared" si="17"/>
        <v>WO</v>
      </c>
      <c r="O25" s="18" t="s">
        <v>39</v>
      </c>
      <c r="P25" s="18" t="s">
        <v>38</v>
      </c>
      <c r="Q25" s="18" t="s">
        <v>38</v>
      </c>
      <c r="R25" s="18" t="s">
        <v>38</v>
      </c>
      <c r="S25" s="18" t="s">
        <v>38</v>
      </c>
      <c r="T25" s="18" t="s">
        <v>38</v>
      </c>
      <c r="U25" s="18" t="str">
        <f t="shared" si="17"/>
        <v>WO</v>
      </c>
      <c r="V25" s="18" t="s">
        <v>39</v>
      </c>
      <c r="W25" s="18" t="s">
        <v>38</v>
      </c>
      <c r="X25" s="18" t="s">
        <v>38</v>
      </c>
      <c r="Y25" s="18" t="s">
        <v>38</v>
      </c>
      <c r="Z25" s="18" t="s">
        <v>38</v>
      </c>
      <c r="AA25" s="18" t="s">
        <v>38</v>
      </c>
      <c r="AB25" s="18" t="str">
        <f t="shared" si="16"/>
        <v>WO</v>
      </c>
      <c r="AC25" s="18" t="s">
        <v>39</v>
      </c>
      <c r="AD25" s="18" t="s">
        <v>38</v>
      </c>
      <c r="AE25" s="18" t="s">
        <v>38</v>
      </c>
      <c r="AF25" s="18" t="s">
        <v>38</v>
      </c>
      <c r="AG25" s="18" t="s">
        <v>38</v>
      </c>
      <c r="AH25" s="18" t="s">
        <v>38</v>
      </c>
      <c r="AI25" s="18" t="str">
        <f t="shared" si="16"/>
        <v>WO</v>
      </c>
      <c r="AJ25" s="18" t="s">
        <v>39</v>
      </c>
      <c r="AK25" s="18" t="s">
        <v>38</v>
      </c>
      <c r="AL25" s="18" t="s">
        <v>38</v>
      </c>
      <c r="AM25" s="18" t="s">
        <v>38</v>
      </c>
      <c r="AN25" s="19" t="s">
        <v>38</v>
      </c>
      <c r="AO25" s="32"/>
      <c r="AP25" s="34"/>
      <c r="AQ25" s="9">
        <v>17</v>
      </c>
      <c r="AR25" s="9">
        <v>1017</v>
      </c>
      <c r="AS25" s="9" t="str">
        <f t="shared" si="8"/>
        <v>October</v>
      </c>
      <c r="AT25" s="15" t="s">
        <v>19</v>
      </c>
      <c r="AU25" s="28">
        <f t="shared" si="4"/>
        <v>22</v>
      </c>
      <c r="AV25">
        <f t="shared" si="5"/>
        <v>5</v>
      </c>
      <c r="AW25">
        <f t="shared" si="6"/>
        <v>0</v>
      </c>
      <c r="AX25">
        <f t="shared" si="9"/>
        <v>4</v>
      </c>
      <c r="AY25" s="29">
        <f t="shared" si="10"/>
        <v>31</v>
      </c>
      <c r="AZ25" s="29">
        <f t="shared" si="11"/>
        <v>26</v>
      </c>
      <c r="BA25" s="30">
        <f t="shared" ca="1" si="12"/>
        <v>14193</v>
      </c>
      <c r="BB25" s="30">
        <f t="shared" ca="1" si="13"/>
        <v>545.88461538461536</v>
      </c>
      <c r="BC25" s="30">
        <f t="shared" ca="1" si="14"/>
        <v>2729.4230769230767</v>
      </c>
      <c r="BD25" s="30">
        <f t="shared" ca="1" si="15"/>
        <v>11463.576923076924</v>
      </c>
      <c r="BF25" s="34"/>
      <c r="BG25" s="31"/>
      <c r="BH25" s="31"/>
      <c r="BI25" s="31"/>
      <c r="BJ25" s="31"/>
    </row>
    <row r="26" spans="1:62" x14ac:dyDescent="0.3">
      <c r="C26" s="31"/>
      <c r="D26" s="31"/>
      <c r="E26" s="32"/>
      <c r="F26" s="8">
        <v>18</v>
      </c>
      <c r="G26" s="9">
        <v>1018</v>
      </c>
      <c r="H26" s="15" t="s">
        <v>22</v>
      </c>
      <c r="I26" s="17">
        <f t="shared" si="7"/>
        <v>4</v>
      </c>
      <c r="J26" s="18" t="s">
        <v>38</v>
      </c>
      <c r="K26" s="18" t="s">
        <v>38</v>
      </c>
      <c r="L26" s="18" t="s">
        <v>38</v>
      </c>
      <c r="M26" s="18" t="s">
        <v>38</v>
      </c>
      <c r="N26" s="18" t="str">
        <f t="shared" si="17"/>
        <v>WO</v>
      </c>
      <c r="O26" s="18" t="s">
        <v>38</v>
      </c>
      <c r="P26" s="18" t="s">
        <v>38</v>
      </c>
      <c r="Q26" s="18" t="s">
        <v>38</v>
      </c>
      <c r="R26" s="18" t="s">
        <v>38</v>
      </c>
      <c r="S26" s="18" t="s">
        <v>38</v>
      </c>
      <c r="T26" s="18" t="s">
        <v>38</v>
      </c>
      <c r="U26" s="18" t="str">
        <f t="shared" si="17"/>
        <v>WO</v>
      </c>
      <c r="V26" s="18" t="s">
        <v>38</v>
      </c>
      <c r="W26" s="18" t="s">
        <v>38</v>
      </c>
      <c r="X26" s="18" t="s">
        <v>38</v>
      </c>
      <c r="Y26" s="18" t="s">
        <v>38</v>
      </c>
      <c r="Z26" s="18" t="s">
        <v>38</v>
      </c>
      <c r="AA26" s="18" t="s">
        <v>38</v>
      </c>
      <c r="AB26" s="18" t="str">
        <f t="shared" si="16"/>
        <v>WO</v>
      </c>
      <c r="AC26" s="18" t="s">
        <v>38</v>
      </c>
      <c r="AD26" s="18" t="s">
        <v>38</v>
      </c>
      <c r="AE26" s="18" t="s">
        <v>38</v>
      </c>
      <c r="AF26" s="18" t="s">
        <v>38</v>
      </c>
      <c r="AG26" s="18" t="s">
        <v>38</v>
      </c>
      <c r="AH26" s="18" t="s">
        <v>38</v>
      </c>
      <c r="AI26" s="18" t="str">
        <f t="shared" si="16"/>
        <v>WO</v>
      </c>
      <c r="AJ26" s="18" t="s">
        <v>38</v>
      </c>
      <c r="AK26" s="18" t="s">
        <v>38</v>
      </c>
      <c r="AL26" s="18" t="s">
        <v>38</v>
      </c>
      <c r="AM26" s="18" t="s">
        <v>38</v>
      </c>
      <c r="AN26" s="19" t="s">
        <v>38</v>
      </c>
      <c r="AO26" s="32"/>
      <c r="AP26" s="34"/>
      <c r="AQ26" s="9">
        <v>18</v>
      </c>
      <c r="AR26" s="9">
        <v>1018</v>
      </c>
      <c r="AS26" s="9" t="str">
        <f t="shared" si="8"/>
        <v>October</v>
      </c>
      <c r="AT26" s="15" t="s">
        <v>22</v>
      </c>
      <c r="AU26" s="28">
        <f t="shared" si="4"/>
        <v>27</v>
      </c>
      <c r="AV26">
        <f t="shared" si="5"/>
        <v>0</v>
      </c>
      <c r="AW26">
        <f t="shared" si="6"/>
        <v>0</v>
      </c>
      <c r="AX26">
        <f t="shared" si="9"/>
        <v>4</v>
      </c>
      <c r="AY26" s="29">
        <f t="shared" si="10"/>
        <v>31</v>
      </c>
      <c r="AZ26" s="29">
        <f t="shared" si="11"/>
        <v>31</v>
      </c>
      <c r="BA26" s="30">
        <f t="shared" ca="1" si="12"/>
        <v>43602</v>
      </c>
      <c r="BB26" s="30">
        <f t="shared" ca="1" si="13"/>
        <v>1406.516129032258</v>
      </c>
      <c r="BC26" s="30">
        <f t="shared" ca="1" si="14"/>
        <v>0</v>
      </c>
      <c r="BD26" s="30">
        <f t="shared" ca="1" si="15"/>
        <v>43602</v>
      </c>
      <c r="BF26" s="34"/>
      <c r="BG26" s="31"/>
      <c r="BH26" s="31"/>
      <c r="BI26" s="31"/>
      <c r="BJ26" s="31"/>
    </row>
    <row r="27" spans="1:62" x14ac:dyDescent="0.3">
      <c r="C27" s="31"/>
      <c r="D27" s="31"/>
      <c r="E27" s="32"/>
      <c r="F27" s="8">
        <v>19</v>
      </c>
      <c r="G27" s="9">
        <v>1019</v>
      </c>
      <c r="H27" s="15" t="s">
        <v>20</v>
      </c>
      <c r="I27" s="17">
        <f t="shared" si="7"/>
        <v>4</v>
      </c>
      <c r="J27" s="18" t="s">
        <v>38</v>
      </c>
      <c r="K27" s="18" t="s">
        <v>39</v>
      </c>
      <c r="L27" s="18" t="s">
        <v>38</v>
      </c>
      <c r="M27" s="18" t="s">
        <v>38</v>
      </c>
      <c r="N27" s="18" t="str">
        <f t="shared" si="17"/>
        <v>WO</v>
      </c>
      <c r="O27" s="18" t="s">
        <v>38</v>
      </c>
      <c r="P27" s="18" t="s">
        <v>39</v>
      </c>
      <c r="Q27" s="18" t="s">
        <v>38</v>
      </c>
      <c r="R27" s="18" t="s">
        <v>38</v>
      </c>
      <c r="S27" s="18" t="s">
        <v>38</v>
      </c>
      <c r="T27" s="18" t="s">
        <v>38</v>
      </c>
      <c r="U27" s="18" t="str">
        <f t="shared" si="17"/>
        <v>WO</v>
      </c>
      <c r="V27" s="18" t="s">
        <v>38</v>
      </c>
      <c r="W27" s="18" t="s">
        <v>39</v>
      </c>
      <c r="X27" s="18" t="s">
        <v>38</v>
      </c>
      <c r="Y27" s="18" t="s">
        <v>38</v>
      </c>
      <c r="Z27" s="18" t="s">
        <v>38</v>
      </c>
      <c r="AA27" s="18" t="s">
        <v>38</v>
      </c>
      <c r="AB27" s="18" t="str">
        <f t="shared" si="16"/>
        <v>WO</v>
      </c>
      <c r="AC27" s="18" t="s">
        <v>38</v>
      </c>
      <c r="AD27" s="18" t="s">
        <v>39</v>
      </c>
      <c r="AE27" s="18" t="s">
        <v>38</v>
      </c>
      <c r="AF27" s="18" t="s">
        <v>38</v>
      </c>
      <c r="AG27" s="18" t="s">
        <v>38</v>
      </c>
      <c r="AH27" s="18" t="s">
        <v>38</v>
      </c>
      <c r="AI27" s="18" t="str">
        <f t="shared" si="16"/>
        <v>WO</v>
      </c>
      <c r="AJ27" s="18" t="s">
        <v>38</v>
      </c>
      <c r="AK27" s="18" t="s">
        <v>39</v>
      </c>
      <c r="AL27" s="18" t="s">
        <v>38</v>
      </c>
      <c r="AM27" s="18" t="s">
        <v>38</v>
      </c>
      <c r="AN27" s="19" t="s">
        <v>38</v>
      </c>
      <c r="AO27" s="32"/>
      <c r="AP27" s="34"/>
      <c r="AQ27" s="9">
        <v>19</v>
      </c>
      <c r="AR27" s="9">
        <v>1019</v>
      </c>
      <c r="AS27" s="9" t="str">
        <f t="shared" si="8"/>
        <v>October</v>
      </c>
      <c r="AT27" s="15" t="s">
        <v>20</v>
      </c>
      <c r="AU27" s="28">
        <f t="shared" si="4"/>
        <v>22</v>
      </c>
      <c r="AV27">
        <f t="shared" si="5"/>
        <v>5</v>
      </c>
      <c r="AW27">
        <f t="shared" si="6"/>
        <v>0</v>
      </c>
      <c r="AX27">
        <f t="shared" si="9"/>
        <v>4</v>
      </c>
      <c r="AY27" s="29">
        <f t="shared" si="10"/>
        <v>31</v>
      </c>
      <c r="AZ27" s="29">
        <f t="shared" si="11"/>
        <v>26</v>
      </c>
      <c r="BA27" s="30">
        <f t="shared" ca="1" si="12"/>
        <v>45025</v>
      </c>
      <c r="BB27" s="30">
        <f t="shared" ca="1" si="13"/>
        <v>1731.7307692307693</v>
      </c>
      <c r="BC27" s="30">
        <f t="shared" ca="1" si="14"/>
        <v>8658.6538461538457</v>
      </c>
      <c r="BD27" s="30">
        <f t="shared" ca="1" si="15"/>
        <v>36366.346153846156</v>
      </c>
      <c r="BF27" s="34"/>
      <c r="BG27" s="31"/>
      <c r="BH27" s="31"/>
      <c r="BI27" s="31"/>
      <c r="BJ27" s="31"/>
    </row>
    <row r="28" spans="1:62" ht="15" thickBot="1" x14ac:dyDescent="0.35">
      <c r="C28" s="31"/>
      <c r="D28" s="31"/>
      <c r="E28" s="32"/>
      <c r="F28" s="10">
        <v>20</v>
      </c>
      <c r="G28" s="11">
        <v>1020</v>
      </c>
      <c r="H28" s="16" t="s">
        <v>21</v>
      </c>
      <c r="I28" s="20">
        <f t="shared" si="7"/>
        <v>4</v>
      </c>
      <c r="J28" s="21" t="s">
        <v>38</v>
      </c>
      <c r="K28" s="21" t="s">
        <v>38</v>
      </c>
      <c r="L28" s="21" t="s">
        <v>38</v>
      </c>
      <c r="M28" s="21" t="s">
        <v>39</v>
      </c>
      <c r="N28" s="21" t="str">
        <f t="shared" si="17"/>
        <v>WO</v>
      </c>
      <c r="O28" s="21" t="s">
        <v>38</v>
      </c>
      <c r="P28" s="21" t="s">
        <v>38</v>
      </c>
      <c r="Q28" s="21" t="s">
        <v>38</v>
      </c>
      <c r="R28" s="21" t="s">
        <v>39</v>
      </c>
      <c r="S28" s="21" t="s">
        <v>39</v>
      </c>
      <c r="T28" s="21" t="s">
        <v>39</v>
      </c>
      <c r="U28" s="21" t="str">
        <f t="shared" si="17"/>
        <v>WO</v>
      </c>
      <c r="V28" s="21" t="s">
        <v>38</v>
      </c>
      <c r="W28" s="21" t="s">
        <v>38</v>
      </c>
      <c r="X28" s="21" t="s">
        <v>38</v>
      </c>
      <c r="Y28" s="21" t="s">
        <v>39</v>
      </c>
      <c r="Z28" s="21" t="s">
        <v>39</v>
      </c>
      <c r="AA28" s="21" t="s">
        <v>39</v>
      </c>
      <c r="AB28" s="21" t="str">
        <f t="shared" si="16"/>
        <v>WO</v>
      </c>
      <c r="AC28" s="21" t="s">
        <v>38</v>
      </c>
      <c r="AD28" s="21" t="s">
        <v>38</v>
      </c>
      <c r="AE28" s="21" t="s">
        <v>38</v>
      </c>
      <c r="AF28" s="21" t="s">
        <v>39</v>
      </c>
      <c r="AG28" s="21" t="s">
        <v>39</v>
      </c>
      <c r="AH28" s="21" t="s">
        <v>39</v>
      </c>
      <c r="AI28" s="21" t="str">
        <f t="shared" si="16"/>
        <v>WO</v>
      </c>
      <c r="AJ28" s="21" t="s">
        <v>38</v>
      </c>
      <c r="AK28" s="21" t="s">
        <v>38</v>
      </c>
      <c r="AL28" s="21" t="s">
        <v>38</v>
      </c>
      <c r="AM28" s="21" t="s">
        <v>39</v>
      </c>
      <c r="AN28" s="22" t="s">
        <v>39</v>
      </c>
      <c r="AO28" s="32"/>
      <c r="AP28" s="34"/>
      <c r="AQ28" s="9">
        <v>20</v>
      </c>
      <c r="AR28" s="9">
        <v>1020</v>
      </c>
      <c r="AS28" s="9" t="str">
        <f t="shared" si="8"/>
        <v>October</v>
      </c>
      <c r="AT28" s="15" t="s">
        <v>21</v>
      </c>
      <c r="AU28" s="28">
        <f t="shared" si="4"/>
        <v>15</v>
      </c>
      <c r="AV28">
        <f t="shared" si="5"/>
        <v>12</v>
      </c>
      <c r="AW28">
        <f t="shared" si="6"/>
        <v>0</v>
      </c>
      <c r="AX28">
        <f t="shared" si="9"/>
        <v>4</v>
      </c>
      <c r="AY28" s="29">
        <f t="shared" si="10"/>
        <v>31</v>
      </c>
      <c r="AZ28" s="29">
        <f t="shared" si="11"/>
        <v>19</v>
      </c>
      <c r="BA28" s="30">
        <f t="shared" ca="1" si="12"/>
        <v>15868</v>
      </c>
      <c r="BB28" s="30">
        <f t="shared" ca="1" si="13"/>
        <v>835.15789473684208</v>
      </c>
      <c r="BC28" s="30">
        <f t="shared" ca="1" si="14"/>
        <v>10021.894736842105</v>
      </c>
      <c r="BD28" s="30">
        <f t="shared" ca="1" si="15"/>
        <v>5846.105263157895</v>
      </c>
      <c r="BF28" s="34"/>
      <c r="BG28" s="31"/>
      <c r="BH28" s="31"/>
      <c r="BI28" s="31"/>
      <c r="BJ28" s="31"/>
    </row>
    <row r="29" spans="1:62" x14ac:dyDescent="0.3">
      <c r="A29" s="31"/>
      <c r="B29" s="31"/>
      <c r="C29" s="31"/>
      <c r="D29" s="31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1"/>
      <c r="BH29" s="31"/>
      <c r="BI29" s="31"/>
      <c r="BJ29" s="31"/>
    </row>
    <row r="30" spans="1:62" x14ac:dyDescent="0.3">
      <c r="A30" s="31"/>
      <c r="B30" s="31"/>
      <c r="C30" s="31"/>
      <c r="D30" s="31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1"/>
      <c r="BH30" s="31"/>
      <c r="BI30" s="31"/>
      <c r="BJ30" s="31"/>
    </row>
    <row r="31" spans="1:62" x14ac:dyDescent="0.3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</row>
    <row r="32" spans="1:62" x14ac:dyDescent="0.3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</row>
    <row r="33" spans="1:62" x14ac:dyDescent="0.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</row>
    <row r="34" spans="1:62" x14ac:dyDescent="0.3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</row>
    <row r="35" spans="1:62" x14ac:dyDescent="0.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</row>
    <row r="36" spans="1:62" x14ac:dyDescent="0.3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</row>
    <row r="37" spans="1:62" x14ac:dyDescent="0.3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</row>
    <row r="38" spans="1:62" x14ac:dyDescent="0.3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</row>
    <row r="39" spans="1:62" x14ac:dyDescent="0.3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</row>
    <row r="40" spans="1:62" x14ac:dyDescent="0.3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</row>
    <row r="41" spans="1:62" x14ac:dyDescent="0.3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</row>
    <row r="42" spans="1:62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</row>
    <row r="43" spans="1:62" x14ac:dyDescent="0.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</row>
    <row r="44" spans="1:62" x14ac:dyDescent="0.3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</row>
    <row r="45" spans="1:62" x14ac:dyDescent="0.3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</row>
    <row r="46" spans="1:62" x14ac:dyDescent="0.3">
      <c r="AO46" s="31"/>
      <c r="AP46" s="31"/>
      <c r="BF46" s="31"/>
      <c r="BG46" s="31"/>
      <c r="BH46" s="31"/>
      <c r="BI46" s="31"/>
      <c r="BJ46" s="31"/>
    </row>
    <row r="47" spans="1:62" x14ac:dyDescent="0.3">
      <c r="AO47" s="31"/>
      <c r="AP47" s="31"/>
      <c r="BF47" s="31"/>
      <c r="BG47" s="31"/>
      <c r="BH47" s="31"/>
      <c r="BI47" s="31"/>
      <c r="BJ47" s="31"/>
    </row>
    <row r="48" spans="1:62" x14ac:dyDescent="0.3">
      <c r="AO48" s="31"/>
      <c r="AP48" s="31"/>
      <c r="BF48" s="31"/>
      <c r="BG48" s="31"/>
      <c r="BH48" s="31"/>
      <c r="BI48" s="31"/>
      <c r="BJ48" s="31"/>
    </row>
    <row r="49" spans="41:62" x14ac:dyDescent="0.3">
      <c r="AO49" s="31"/>
      <c r="AP49" s="31"/>
      <c r="BF49" s="31"/>
      <c r="BG49" s="31"/>
      <c r="BH49" s="31"/>
      <c r="BI49" s="31"/>
      <c r="BJ49" s="31"/>
    </row>
  </sheetData>
  <conditionalFormatting sqref="J9:M28">
    <cfRule type="containsText" dxfId="94" priority="45" operator="containsText" text="L">
      <formula>NOT(ISERROR(SEARCH("L",J9)))</formula>
    </cfRule>
    <cfRule type="containsText" dxfId="93" priority="46" operator="containsText" text="A">
      <formula>NOT(ISERROR(SEARCH("A",J9)))</formula>
    </cfRule>
    <cfRule type="containsText" dxfId="92" priority="47" operator="containsText" text="P">
      <formula>NOT(ISERROR(SEARCH("P",J9)))</formula>
    </cfRule>
    <cfRule type="containsText" dxfId="91" priority="48" operator="containsText" text="WO">
      <formula>NOT(ISERROR(SEARCH("WO",J9)))</formula>
    </cfRule>
  </conditionalFormatting>
  <conditionalFormatting sqref="N9:N28 U9:U28 AB9:AB28 AI9:AI28">
    <cfRule type="containsText" dxfId="90" priority="49" operator="containsText" text="L">
      <formula>NOT(ISERROR(SEARCH("L",N9)))</formula>
    </cfRule>
    <cfRule type="containsText" dxfId="89" priority="50" operator="containsText" text="A">
      <formula>NOT(ISERROR(SEARCH("A",N9)))</formula>
    </cfRule>
    <cfRule type="containsText" dxfId="88" priority="51" operator="containsText" text="P">
      <formula>NOT(ISERROR(SEARCH("P",N9)))</formula>
    </cfRule>
    <cfRule type="containsText" dxfId="87" priority="61" operator="containsText" text="A">
      <formula>NOT(ISERROR(SEARCH("A",N9)))</formula>
    </cfRule>
    <cfRule type="containsText" dxfId="86" priority="65" operator="containsText" text="P">
      <formula>NOT(ISERROR(SEARCH("P",N9)))</formula>
    </cfRule>
    <cfRule type="containsText" dxfId="85" priority="66" operator="containsText" text="L">
      <formula>NOT(ISERROR(SEARCH("L",N9)))</formula>
    </cfRule>
    <cfRule type="containsText" dxfId="84" priority="67" operator="containsText" text="A">
      <formula>NOT(ISERROR(SEARCH("A",N9)))</formula>
    </cfRule>
    <cfRule type="containsText" dxfId="83" priority="68" operator="containsText" text="P">
      <formula>NOT(ISERROR(SEARCH("P",N9)))</formula>
    </cfRule>
    <cfRule type="containsText" dxfId="82" priority="69" operator="containsText" text="WO">
      <formula>NOT(ISERROR(SEARCH("WO",N9)))</formula>
    </cfRule>
  </conditionalFormatting>
  <conditionalFormatting sqref="O9:T28">
    <cfRule type="containsText" dxfId="81" priority="21" operator="containsText" text="L">
      <formula>NOT(ISERROR(SEARCH("L",O9)))</formula>
    </cfRule>
    <cfRule type="containsText" dxfId="80" priority="22" operator="containsText" text="A">
      <formula>NOT(ISERROR(SEARCH("A",O9)))</formula>
    </cfRule>
    <cfRule type="containsText" dxfId="79" priority="23" operator="containsText" text="P">
      <formula>NOT(ISERROR(SEARCH("P",O9)))</formula>
    </cfRule>
    <cfRule type="containsText" dxfId="78" priority="24" operator="containsText" text="WO">
      <formula>NOT(ISERROR(SEARCH("WO",O9)))</formula>
    </cfRule>
  </conditionalFormatting>
  <conditionalFormatting sqref="V9:AA28">
    <cfRule type="containsText" dxfId="77" priority="13" operator="containsText" text="L">
      <formula>NOT(ISERROR(SEARCH("L",V9)))</formula>
    </cfRule>
    <cfRule type="containsText" dxfId="76" priority="14" operator="containsText" text="A">
      <formula>NOT(ISERROR(SEARCH("A",V9)))</formula>
    </cfRule>
    <cfRule type="containsText" dxfId="75" priority="15" operator="containsText" text="P">
      <formula>NOT(ISERROR(SEARCH("P",V9)))</formula>
    </cfRule>
    <cfRule type="containsText" dxfId="74" priority="16" operator="containsText" text="WO">
      <formula>NOT(ISERROR(SEARCH("WO",V9)))</formula>
    </cfRule>
  </conditionalFormatting>
  <conditionalFormatting sqref="AC9:AH28">
    <cfRule type="containsText" dxfId="73" priority="5" operator="containsText" text="L">
      <formula>NOT(ISERROR(SEARCH("L",AC9)))</formula>
    </cfRule>
    <cfRule type="containsText" dxfId="72" priority="6" operator="containsText" text="A">
      <formula>NOT(ISERROR(SEARCH("A",AC9)))</formula>
    </cfRule>
    <cfRule type="containsText" dxfId="71" priority="7" operator="containsText" text="P">
      <formula>NOT(ISERROR(SEARCH("P",AC9)))</formula>
    </cfRule>
    <cfRule type="containsText" dxfId="70" priority="8" operator="containsText" text="WO">
      <formula>NOT(ISERROR(SEARCH("WO",AC9)))</formula>
    </cfRule>
  </conditionalFormatting>
  <conditionalFormatting sqref="AJ9:AN28">
    <cfRule type="containsText" dxfId="69" priority="1" operator="containsText" text="L">
      <formula>NOT(ISERROR(SEARCH("L",AJ9)))</formula>
    </cfRule>
    <cfRule type="containsText" dxfId="68" priority="2" operator="containsText" text="A">
      <formula>NOT(ISERROR(SEARCH("A",AJ9)))</formula>
    </cfRule>
    <cfRule type="containsText" dxfId="67" priority="3" operator="containsText" text="P">
      <formula>NOT(ISERROR(SEARCH("P",AJ9)))</formula>
    </cfRule>
    <cfRule type="containsText" dxfId="66" priority="4" operator="containsText" text="WO">
      <formula>NOT(ISERROR(SEARCH("WO",AJ9)))</formula>
    </cfRule>
  </conditionalFormatting>
  <dataValidations count="1">
    <dataValidation type="list" allowBlank="1" showInputMessage="1" showErrorMessage="1" sqref="F7:I28 J7:AN8 J9:M28 O9:T28 V9:AA28 AC9:AH28 AJ9:AN28" xr:uid="{619D0C95-D81A-452E-82B2-EFB7A1AEDC84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F3B6283-BED9-4525-A1FF-31D1CF93E27C}">
          <x14:formula1>
            <xm:f>Rough!$A$1:$A$12</xm:f>
          </x14:formula1>
          <xm:sqref>G5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FB8734B2-6A49-48F5-96DF-73992C62CF9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October!AU9:AX9</xm:f>
              <xm:sqref>BE9</xm:sqref>
            </x14:sparkline>
            <x14:sparkline>
              <xm:f>October!AU10:AX10</xm:f>
              <xm:sqref>BE10</xm:sqref>
            </x14:sparkline>
            <x14:sparkline>
              <xm:f>October!AU11:AX11</xm:f>
              <xm:sqref>BE11</xm:sqref>
            </x14:sparkline>
            <x14:sparkline>
              <xm:f>October!AU12:AX12</xm:f>
              <xm:sqref>BE12</xm:sqref>
            </x14:sparkline>
            <x14:sparkline>
              <xm:f>October!AU13:AX13</xm:f>
              <xm:sqref>BE13</xm:sqref>
            </x14:sparkline>
            <x14:sparkline>
              <xm:f>October!AU14:AX14</xm:f>
              <xm:sqref>BE14</xm:sqref>
            </x14:sparkline>
            <x14:sparkline>
              <xm:f>October!AU15:AX15</xm:f>
              <xm:sqref>BE15</xm:sqref>
            </x14:sparkline>
            <x14:sparkline>
              <xm:f>October!AU16:AX16</xm:f>
              <xm:sqref>BE16</xm:sqref>
            </x14:sparkline>
            <x14:sparkline>
              <xm:f>October!AU17:AX17</xm:f>
              <xm:sqref>BE17</xm:sqref>
            </x14:sparkline>
            <x14:sparkline>
              <xm:f>October!AU18:AX18</xm:f>
              <xm:sqref>BE18</xm:sqref>
            </x14:sparkline>
            <x14:sparkline>
              <xm:f>October!AU19:AX19</xm:f>
              <xm:sqref>BE19</xm:sqref>
            </x14:sparkline>
            <x14:sparkline>
              <xm:f>October!AU20:AX20</xm:f>
              <xm:sqref>BE20</xm:sqref>
            </x14:sparkline>
            <x14:sparkline>
              <xm:f>October!AU21:AX21</xm:f>
              <xm:sqref>BE21</xm:sqref>
            </x14:sparkline>
            <x14:sparkline>
              <xm:f>October!AU22:AX22</xm:f>
              <xm:sqref>BE22</xm:sqref>
            </x14:sparkline>
            <x14:sparkline>
              <xm:f>October!AU23:AX23</xm:f>
              <xm:sqref>BE23</xm:sqref>
            </x14:sparkline>
            <x14:sparkline>
              <xm:f>October!AU24:AX24</xm:f>
              <xm:sqref>BE24</xm:sqref>
            </x14:sparkline>
            <x14:sparkline>
              <xm:f>October!AU25:AX25</xm:f>
              <xm:sqref>BE25</xm:sqref>
            </x14:sparkline>
            <x14:sparkline>
              <xm:f>October!AU26:AX26</xm:f>
              <xm:sqref>BE26</xm:sqref>
            </x14:sparkline>
            <x14:sparkline>
              <xm:f>October!AU27:AX27</xm:f>
              <xm:sqref>BE27</xm:sqref>
            </x14:sparkline>
            <x14:sparkline>
              <xm:f>October!AU28:AX28</xm:f>
              <xm:sqref>BE28</xm:sqref>
            </x14:sparkline>
          </x14:sparklines>
        </x14:sparklineGroup>
      </x14:sparklineGroup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38143-FCE4-4B62-B93E-235DF25CC394}">
  <dimension ref="A1:BJ49"/>
  <sheetViews>
    <sheetView topLeftCell="AK4" workbookViewId="0">
      <selection activeCell="AX5" sqref="AX5"/>
    </sheetView>
  </sheetViews>
  <sheetFormatPr defaultRowHeight="14.4" x14ac:dyDescent="0.3"/>
  <cols>
    <col min="6" max="6" width="6.33203125" bestFit="1" customWidth="1"/>
    <col min="7" max="7" width="14.33203125" bestFit="1" customWidth="1"/>
    <col min="8" max="8" width="18.77734375" bestFit="1" customWidth="1"/>
    <col min="9" max="9" width="10.5546875" bestFit="1" customWidth="1"/>
    <col min="10" max="10" width="5.5546875" customWidth="1"/>
    <col min="11" max="11" width="4" bestFit="1" customWidth="1"/>
    <col min="12" max="12" width="3.88671875" customWidth="1"/>
    <col min="13" max="13" width="3.5546875" bestFit="1" customWidth="1"/>
    <col min="14" max="14" width="3.88671875" bestFit="1" customWidth="1"/>
    <col min="15" max="15" width="4.77734375" bestFit="1" customWidth="1"/>
    <col min="16" max="16" width="4" bestFit="1" customWidth="1"/>
    <col min="17" max="17" width="4.77734375" bestFit="1" customWidth="1"/>
    <col min="18" max="18" width="4" bestFit="1" customWidth="1"/>
    <col min="19" max="19" width="3.44140625" customWidth="1"/>
    <col min="20" max="20" width="3.5546875" bestFit="1" customWidth="1"/>
    <col min="21" max="21" width="3.88671875" bestFit="1" customWidth="1"/>
    <col min="22" max="22" width="4.77734375" bestFit="1" customWidth="1"/>
    <col min="23" max="23" width="4" bestFit="1" customWidth="1"/>
    <col min="24" max="24" width="4.77734375" bestFit="1" customWidth="1"/>
    <col min="25" max="25" width="4" bestFit="1" customWidth="1"/>
    <col min="26" max="26" width="3.44140625" customWidth="1"/>
    <col min="27" max="27" width="3.5546875" bestFit="1" customWidth="1"/>
    <col min="28" max="28" width="3.88671875" bestFit="1" customWidth="1"/>
    <col min="29" max="29" width="4.77734375" bestFit="1" customWidth="1"/>
    <col min="30" max="30" width="4" bestFit="1" customWidth="1"/>
    <col min="31" max="31" width="4.77734375" bestFit="1" customWidth="1"/>
    <col min="32" max="32" width="4" bestFit="1" customWidth="1"/>
    <col min="33" max="33" width="4" customWidth="1"/>
    <col min="34" max="34" width="3.5546875" bestFit="1" customWidth="1"/>
    <col min="35" max="35" width="3.88671875" bestFit="1" customWidth="1"/>
    <col min="36" max="36" width="4.77734375" bestFit="1" customWidth="1"/>
    <col min="37" max="37" width="4" bestFit="1" customWidth="1"/>
    <col min="38" max="38" width="4.77734375" bestFit="1" customWidth="1"/>
    <col min="39" max="39" width="4" bestFit="1" customWidth="1"/>
    <col min="40" max="40" width="3.44140625" customWidth="1"/>
    <col min="44" max="44" width="16" customWidth="1"/>
    <col min="45" max="45" width="13.6640625" customWidth="1"/>
    <col min="46" max="46" width="20.33203125" customWidth="1"/>
    <col min="47" max="47" width="11" customWidth="1"/>
    <col min="48" max="48" width="10.33203125" customWidth="1"/>
    <col min="49" max="49" width="9.109375" customWidth="1"/>
    <col min="50" max="50" width="13" customWidth="1"/>
    <col min="51" max="51" width="8" customWidth="1"/>
    <col min="52" max="52" width="13.6640625" customWidth="1"/>
    <col min="53" max="53" width="11.5546875" bestFit="1" customWidth="1"/>
    <col min="54" max="54" width="17.77734375" customWidth="1"/>
    <col min="55" max="55" width="13.88671875" customWidth="1"/>
    <col min="56" max="56" width="15.21875" customWidth="1"/>
    <col min="57" max="57" width="12.77734375" customWidth="1"/>
  </cols>
  <sheetData>
    <row r="1" spans="1:62" x14ac:dyDescent="0.3">
      <c r="AP1" s="31"/>
      <c r="BF1" s="31"/>
      <c r="BG1" s="31"/>
      <c r="BH1" s="31"/>
      <c r="BI1" s="31"/>
      <c r="BJ1" s="31"/>
    </row>
    <row r="2" spans="1:62" x14ac:dyDescent="0.3">
      <c r="AP2" s="31"/>
      <c r="BF2" s="31"/>
      <c r="BG2" s="31"/>
      <c r="BH2" s="31"/>
      <c r="BI2" s="31"/>
      <c r="BJ2" s="31"/>
    </row>
    <row r="3" spans="1:62" x14ac:dyDescent="0.3">
      <c r="AP3" s="31"/>
      <c r="BF3" s="31"/>
      <c r="BG3" s="31"/>
      <c r="BH3" s="31"/>
      <c r="BI3" s="31"/>
      <c r="BJ3" s="31"/>
    </row>
    <row r="4" spans="1:62" x14ac:dyDescent="0.3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</row>
    <row r="5" spans="1:62" x14ac:dyDescent="0.3">
      <c r="A5" s="31"/>
      <c r="B5" s="31"/>
      <c r="C5" s="31"/>
      <c r="D5" s="31"/>
      <c r="E5" s="35" t="str">
        <f>TEXT(G5,"mmmm")</f>
        <v>November</v>
      </c>
      <c r="F5" s="35" t="s">
        <v>26</v>
      </c>
      <c r="G5" s="36">
        <v>45962</v>
      </c>
      <c r="H5" s="37">
        <f>(DATEDIF($G$5,$J$5,"D"))+1</f>
        <v>30</v>
      </c>
      <c r="I5" s="35" t="s">
        <v>27</v>
      </c>
      <c r="J5" s="36">
        <f>EOMONTH(G5,0)</f>
        <v>45991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</row>
    <row r="6" spans="1:62" ht="15" thickBot="1" x14ac:dyDescent="0.35">
      <c r="A6" s="31"/>
      <c r="B6" s="31"/>
      <c r="C6" s="31"/>
      <c r="D6" s="31"/>
      <c r="E6" s="32"/>
      <c r="F6" s="32"/>
      <c r="G6" s="32"/>
      <c r="H6" s="32"/>
      <c r="I6" s="32"/>
      <c r="J6" s="33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1"/>
      <c r="BH6" s="31"/>
      <c r="BI6" s="31"/>
      <c r="BJ6" s="31"/>
    </row>
    <row r="7" spans="1:62" ht="15" thickBot="1" x14ac:dyDescent="0.35">
      <c r="C7" s="31"/>
      <c r="D7" s="31"/>
      <c r="E7" s="32"/>
      <c r="F7" s="5"/>
      <c r="G7" s="6" t="s">
        <v>29</v>
      </c>
      <c r="H7" s="7"/>
      <c r="I7" s="5" t="s">
        <v>28</v>
      </c>
      <c r="J7" s="23" t="str">
        <f>TEXT(J8,"DDD")</f>
        <v>Sat</v>
      </c>
      <c r="K7" s="23" t="str">
        <f>TEXT(K8,"DDD")</f>
        <v>Sun</v>
      </c>
      <c r="L7" s="23" t="str">
        <f t="shared" ref="L7:AI7" si="0">TEXT(L8,"DDD")</f>
        <v>Mon</v>
      </c>
      <c r="M7" s="23" t="str">
        <f t="shared" si="0"/>
        <v>Tue</v>
      </c>
      <c r="N7" s="23" t="str">
        <f t="shared" si="0"/>
        <v>Wed</v>
      </c>
      <c r="O7" s="23" t="str">
        <f t="shared" si="0"/>
        <v>Thu</v>
      </c>
      <c r="P7" s="23" t="str">
        <f t="shared" si="0"/>
        <v>Fri</v>
      </c>
      <c r="Q7" s="23" t="str">
        <f t="shared" si="0"/>
        <v>Sat</v>
      </c>
      <c r="R7" s="23" t="str">
        <f t="shared" si="0"/>
        <v>Sun</v>
      </c>
      <c r="S7" s="23" t="str">
        <f t="shared" si="0"/>
        <v>Mon</v>
      </c>
      <c r="T7" s="23" t="str">
        <f t="shared" si="0"/>
        <v>Tue</v>
      </c>
      <c r="U7" s="23" t="str">
        <f t="shared" si="0"/>
        <v>Wed</v>
      </c>
      <c r="V7" s="23" t="str">
        <f t="shared" si="0"/>
        <v>Thu</v>
      </c>
      <c r="W7" s="23" t="str">
        <f t="shared" si="0"/>
        <v>Fri</v>
      </c>
      <c r="X7" s="23" t="str">
        <f t="shared" si="0"/>
        <v>Sat</v>
      </c>
      <c r="Y7" s="23" t="str">
        <f t="shared" si="0"/>
        <v>Sun</v>
      </c>
      <c r="Z7" s="23" t="str">
        <f t="shared" si="0"/>
        <v>Mon</v>
      </c>
      <c r="AA7" s="23" t="str">
        <f t="shared" si="0"/>
        <v>Tue</v>
      </c>
      <c r="AB7" s="23" t="str">
        <f t="shared" si="0"/>
        <v>Wed</v>
      </c>
      <c r="AC7" s="23" t="str">
        <f t="shared" si="0"/>
        <v>Thu</v>
      </c>
      <c r="AD7" s="23" t="str">
        <f t="shared" si="0"/>
        <v>Fri</v>
      </c>
      <c r="AE7" s="23" t="str">
        <f t="shared" si="0"/>
        <v>Sat</v>
      </c>
      <c r="AF7" s="23" t="str">
        <f t="shared" si="0"/>
        <v>Sun</v>
      </c>
      <c r="AG7" s="23" t="str">
        <f t="shared" si="0"/>
        <v>Mon</v>
      </c>
      <c r="AH7" s="23" t="str">
        <f t="shared" si="0"/>
        <v>Tue</v>
      </c>
      <c r="AI7" s="23" t="str">
        <f t="shared" si="0"/>
        <v>Wed</v>
      </c>
      <c r="AJ7" s="23" t="str">
        <f>TEXT(AJ8,"DDD")</f>
        <v>Thu</v>
      </c>
      <c r="AK7" s="23" t="str">
        <f>TEXT(AK8,"DDD")</f>
        <v>Fri</v>
      </c>
      <c r="AL7" s="23" t="str">
        <f t="shared" ref="AL7:AN7" si="1">TEXT(AL8,"DDD")</f>
        <v>Sat</v>
      </c>
      <c r="AM7" s="23" t="str">
        <f t="shared" si="1"/>
        <v>Sun</v>
      </c>
      <c r="AN7" s="24" t="str">
        <f t="shared" si="1"/>
        <v/>
      </c>
      <c r="AO7" s="32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1"/>
      <c r="BH7" s="31"/>
      <c r="BI7" s="31"/>
      <c r="BJ7" s="31"/>
    </row>
    <row r="8" spans="1:62" ht="18.600000000000001" thickBot="1" x14ac:dyDescent="0.4">
      <c r="C8" s="31"/>
      <c r="D8" s="31"/>
      <c r="E8" s="32"/>
      <c r="F8" s="12" t="s">
        <v>23</v>
      </c>
      <c r="G8" s="13" t="s">
        <v>2</v>
      </c>
      <c r="H8" s="14" t="s">
        <v>24</v>
      </c>
      <c r="I8" s="25" t="s">
        <v>25</v>
      </c>
      <c r="J8" s="26">
        <f>G5</f>
        <v>45962</v>
      </c>
      <c r="K8" s="26">
        <f>IF(J8&lt;$J$5,J8+1,"")</f>
        <v>45963</v>
      </c>
      <c r="L8" s="26">
        <f t="shared" ref="L8:AN8" si="2">IF(K8&lt;$J$5,K8+1,"")</f>
        <v>45964</v>
      </c>
      <c r="M8" s="26">
        <f t="shared" si="2"/>
        <v>45965</v>
      </c>
      <c r="N8" s="26">
        <f t="shared" si="2"/>
        <v>45966</v>
      </c>
      <c r="O8" s="26">
        <f t="shared" si="2"/>
        <v>45967</v>
      </c>
      <c r="P8" s="26">
        <f t="shared" si="2"/>
        <v>45968</v>
      </c>
      <c r="Q8" s="26">
        <f t="shared" si="2"/>
        <v>45969</v>
      </c>
      <c r="R8" s="26">
        <f t="shared" si="2"/>
        <v>45970</v>
      </c>
      <c r="S8" s="26">
        <f t="shared" si="2"/>
        <v>45971</v>
      </c>
      <c r="T8" s="26">
        <f t="shared" si="2"/>
        <v>45972</v>
      </c>
      <c r="U8" s="26">
        <f t="shared" si="2"/>
        <v>45973</v>
      </c>
      <c r="V8" s="26">
        <f t="shared" si="2"/>
        <v>45974</v>
      </c>
      <c r="W8" s="26">
        <f t="shared" si="2"/>
        <v>45975</v>
      </c>
      <c r="X8" s="26">
        <f t="shared" si="2"/>
        <v>45976</v>
      </c>
      <c r="Y8" s="26">
        <f t="shared" si="2"/>
        <v>45977</v>
      </c>
      <c r="Z8" s="26">
        <f t="shared" si="2"/>
        <v>45978</v>
      </c>
      <c r="AA8" s="26">
        <f t="shared" si="2"/>
        <v>45979</v>
      </c>
      <c r="AB8" s="26">
        <f t="shared" si="2"/>
        <v>45980</v>
      </c>
      <c r="AC8" s="26">
        <f t="shared" si="2"/>
        <v>45981</v>
      </c>
      <c r="AD8" s="26">
        <f t="shared" si="2"/>
        <v>45982</v>
      </c>
      <c r="AE8" s="26">
        <f t="shared" si="2"/>
        <v>45983</v>
      </c>
      <c r="AF8" s="26">
        <f t="shared" si="2"/>
        <v>45984</v>
      </c>
      <c r="AG8" s="26">
        <f t="shared" si="2"/>
        <v>45985</v>
      </c>
      <c r="AH8" s="26">
        <f t="shared" si="2"/>
        <v>45986</v>
      </c>
      <c r="AI8" s="26">
        <f t="shared" si="2"/>
        <v>45987</v>
      </c>
      <c r="AJ8" s="26">
        <f t="shared" si="2"/>
        <v>45988</v>
      </c>
      <c r="AK8" s="26">
        <f t="shared" si="2"/>
        <v>45989</v>
      </c>
      <c r="AL8" s="26">
        <f t="shared" si="2"/>
        <v>45990</v>
      </c>
      <c r="AM8" s="26">
        <f t="shared" si="2"/>
        <v>45991</v>
      </c>
      <c r="AN8" s="27" t="str">
        <f t="shared" si="2"/>
        <v/>
      </c>
      <c r="AO8" s="32"/>
      <c r="AP8" s="34"/>
      <c r="AQ8" s="38" t="s">
        <v>23</v>
      </c>
      <c r="AR8" s="38" t="s">
        <v>2</v>
      </c>
      <c r="AS8" s="38" t="s">
        <v>42</v>
      </c>
      <c r="AT8" s="39" t="s">
        <v>24</v>
      </c>
      <c r="AU8" s="40" t="s">
        <v>30</v>
      </c>
      <c r="AV8" s="38" t="s">
        <v>31</v>
      </c>
      <c r="AW8" s="38" t="s">
        <v>32</v>
      </c>
      <c r="AX8" s="38" t="s">
        <v>25</v>
      </c>
      <c r="AY8" s="38" t="s">
        <v>28</v>
      </c>
      <c r="AZ8" s="38" t="s">
        <v>33</v>
      </c>
      <c r="BA8" s="38" t="s">
        <v>34</v>
      </c>
      <c r="BB8" s="38" t="s">
        <v>35</v>
      </c>
      <c r="BC8" s="40" t="s">
        <v>36</v>
      </c>
      <c r="BD8" s="38" t="s">
        <v>37</v>
      </c>
      <c r="BE8" s="38" t="s">
        <v>41</v>
      </c>
      <c r="BF8" s="34"/>
      <c r="BG8" s="31"/>
      <c r="BH8" s="31"/>
      <c r="BI8" s="31"/>
      <c r="BJ8" s="31"/>
    </row>
    <row r="9" spans="1:62" x14ac:dyDescent="0.3">
      <c r="C9" s="31"/>
      <c r="D9" s="31"/>
      <c r="E9" s="32"/>
      <c r="F9" s="8">
        <v>1</v>
      </c>
      <c r="G9" s="9">
        <v>1001</v>
      </c>
      <c r="H9" s="15" t="s">
        <v>3</v>
      </c>
      <c r="I9" s="17">
        <f>COUNTIF($J$7:$AN$7,"Sun")</f>
        <v>5</v>
      </c>
      <c r="J9" s="18" t="s">
        <v>38</v>
      </c>
      <c r="K9" s="18" t="str">
        <f t="shared" ref="K9:AN17" si="3">IF(K$7="Sun","WO","")</f>
        <v>WO</v>
      </c>
      <c r="L9" s="18" t="s">
        <v>38</v>
      </c>
      <c r="M9" s="18" t="s">
        <v>38</v>
      </c>
      <c r="N9" s="18" t="s">
        <v>38</v>
      </c>
      <c r="O9" s="18" t="s">
        <v>38</v>
      </c>
      <c r="P9" s="18" t="s">
        <v>38</v>
      </c>
      <c r="Q9" s="18" t="s">
        <v>38</v>
      </c>
      <c r="R9" s="18" t="str">
        <f t="shared" si="3"/>
        <v>WO</v>
      </c>
      <c r="S9" s="18" t="s">
        <v>38</v>
      </c>
      <c r="T9" s="18" t="s">
        <v>38</v>
      </c>
      <c r="U9" s="18" t="s">
        <v>38</v>
      </c>
      <c r="V9" s="18" t="s">
        <v>38</v>
      </c>
      <c r="W9" s="18" t="s">
        <v>38</v>
      </c>
      <c r="X9" s="18" t="s">
        <v>38</v>
      </c>
      <c r="Y9" s="18" t="str">
        <f t="shared" si="3"/>
        <v>WO</v>
      </c>
      <c r="Z9" s="18" t="s">
        <v>38</v>
      </c>
      <c r="AA9" s="18" t="s">
        <v>38</v>
      </c>
      <c r="AB9" s="18" t="s">
        <v>38</v>
      </c>
      <c r="AC9" s="18" t="s">
        <v>38</v>
      </c>
      <c r="AD9" s="18" t="s">
        <v>38</v>
      </c>
      <c r="AE9" s="18" t="s">
        <v>38</v>
      </c>
      <c r="AF9" s="18" t="str">
        <f t="shared" si="3"/>
        <v>WO</v>
      </c>
      <c r="AG9" s="18" t="s">
        <v>38</v>
      </c>
      <c r="AH9" s="18" t="s">
        <v>38</v>
      </c>
      <c r="AI9" s="18" t="s">
        <v>38</v>
      </c>
      <c r="AJ9" s="18" t="s">
        <v>38</v>
      </c>
      <c r="AK9" s="18" t="s">
        <v>38</v>
      </c>
      <c r="AL9" s="18" t="s">
        <v>38</v>
      </c>
      <c r="AM9" s="18" t="str">
        <f t="shared" si="3"/>
        <v>WO</v>
      </c>
      <c r="AN9" s="19" t="str">
        <f t="shared" si="3"/>
        <v/>
      </c>
      <c r="AO9" s="32"/>
      <c r="AP9" s="34"/>
      <c r="AQ9" s="9">
        <v>1</v>
      </c>
      <c r="AR9" s="9">
        <v>1001</v>
      </c>
      <c r="AS9" s="9" t="str">
        <f>$E$5</f>
        <v>November</v>
      </c>
      <c r="AT9" s="15" t="s">
        <v>3</v>
      </c>
      <c r="AU9" s="28">
        <f t="shared" ref="AU9:AU28" si="4">COUNTIF($J9:$AN9,"P")</f>
        <v>25</v>
      </c>
      <c r="AV9">
        <f t="shared" ref="AV9:AV28" si="5">COUNTIF($J9:$AN9,"A")</f>
        <v>0</v>
      </c>
      <c r="AW9">
        <f t="shared" ref="AW9:AW28" si="6">COUNTIF($J9:$AN9,"L")</f>
        <v>0</v>
      </c>
      <c r="AX9">
        <f>$I$9</f>
        <v>5</v>
      </c>
      <c r="AY9" s="29">
        <f>$H$5</f>
        <v>30</v>
      </c>
      <c r="AZ9" s="29">
        <f>AY9-AV9</f>
        <v>30</v>
      </c>
      <c r="BA9" s="30">
        <f ca="1">RANDBETWEEN(10000,50000)</f>
        <v>11830</v>
      </c>
      <c r="BB9" s="30">
        <f ca="1">BA9/AZ9</f>
        <v>394.33333333333331</v>
      </c>
      <c r="BC9" s="30">
        <f ca="1">BB9*AV9</f>
        <v>0</v>
      </c>
      <c r="BD9" s="30">
        <f ca="1">BA9-BC9</f>
        <v>11830</v>
      </c>
      <c r="BF9" s="34"/>
      <c r="BG9" s="31"/>
      <c r="BH9" s="31"/>
      <c r="BI9" s="31"/>
      <c r="BJ9" s="31"/>
    </row>
    <row r="10" spans="1:62" x14ac:dyDescent="0.3">
      <c r="C10" s="31"/>
      <c r="D10" s="31"/>
      <c r="E10" s="32"/>
      <c r="F10" s="8">
        <v>2</v>
      </c>
      <c r="G10" s="9">
        <v>1002</v>
      </c>
      <c r="H10" s="15" t="s">
        <v>4</v>
      </c>
      <c r="I10" s="17">
        <f t="shared" ref="I10:I28" si="7">COUNTIF($J$7:$AN$7,"Sun")</f>
        <v>5</v>
      </c>
      <c r="J10" s="18" t="s">
        <v>38</v>
      </c>
      <c r="K10" s="18" t="str">
        <f t="shared" si="3"/>
        <v>WO</v>
      </c>
      <c r="L10" s="18" t="s">
        <v>38</v>
      </c>
      <c r="M10" s="18" t="s">
        <v>38</v>
      </c>
      <c r="N10" s="18" t="s">
        <v>40</v>
      </c>
      <c r="O10" s="18" t="s">
        <v>38</v>
      </c>
      <c r="P10" s="18" t="s">
        <v>38</v>
      </c>
      <c r="Q10" s="18" t="s">
        <v>38</v>
      </c>
      <c r="R10" s="18" t="str">
        <f t="shared" si="3"/>
        <v>WO</v>
      </c>
      <c r="S10" s="18" t="s">
        <v>38</v>
      </c>
      <c r="T10" s="18" t="s">
        <v>38</v>
      </c>
      <c r="U10" s="18" t="s">
        <v>39</v>
      </c>
      <c r="V10" s="18" t="s">
        <v>38</v>
      </c>
      <c r="W10" s="18" t="s">
        <v>38</v>
      </c>
      <c r="X10" s="18" t="s">
        <v>38</v>
      </c>
      <c r="Y10" s="18" t="str">
        <f t="shared" si="3"/>
        <v>WO</v>
      </c>
      <c r="Z10" s="18" t="s">
        <v>38</v>
      </c>
      <c r="AA10" s="18" t="s">
        <v>38</v>
      </c>
      <c r="AB10" s="18" t="s">
        <v>39</v>
      </c>
      <c r="AC10" s="18" t="s">
        <v>38</v>
      </c>
      <c r="AD10" s="18" t="s">
        <v>38</v>
      </c>
      <c r="AE10" s="18" t="s">
        <v>38</v>
      </c>
      <c r="AF10" s="18" t="str">
        <f t="shared" si="3"/>
        <v>WO</v>
      </c>
      <c r="AG10" s="18" t="s">
        <v>38</v>
      </c>
      <c r="AH10" s="18" t="s">
        <v>38</v>
      </c>
      <c r="AI10" s="18" t="s">
        <v>39</v>
      </c>
      <c r="AJ10" s="18" t="s">
        <v>38</v>
      </c>
      <c r="AK10" s="18" t="s">
        <v>38</v>
      </c>
      <c r="AL10" s="18" t="s">
        <v>38</v>
      </c>
      <c r="AM10" s="18" t="str">
        <f t="shared" si="3"/>
        <v>WO</v>
      </c>
      <c r="AN10" s="19" t="str">
        <f t="shared" si="3"/>
        <v/>
      </c>
      <c r="AO10" s="32"/>
      <c r="AP10" s="34"/>
      <c r="AQ10" s="9">
        <v>2</v>
      </c>
      <c r="AR10" s="9">
        <v>1002</v>
      </c>
      <c r="AS10" s="9" t="str">
        <f t="shared" ref="AS10:AS28" si="8">$E$5</f>
        <v>November</v>
      </c>
      <c r="AT10" s="15" t="s">
        <v>4</v>
      </c>
      <c r="AU10" s="28">
        <f t="shared" si="4"/>
        <v>21</v>
      </c>
      <c r="AV10">
        <f t="shared" si="5"/>
        <v>3</v>
      </c>
      <c r="AW10">
        <f t="shared" si="6"/>
        <v>1</v>
      </c>
      <c r="AX10">
        <f t="shared" ref="AX10:AX28" si="9">$I$9</f>
        <v>5</v>
      </c>
      <c r="AY10" s="29">
        <f t="shared" ref="AY10:AY28" si="10">$H$5</f>
        <v>30</v>
      </c>
      <c r="AZ10" s="29">
        <f t="shared" ref="AZ10:AZ28" si="11">AY10-AV10</f>
        <v>27</v>
      </c>
      <c r="BA10" s="30">
        <f t="shared" ref="BA10:BA28" ca="1" si="12">RANDBETWEEN(10000,50000)</f>
        <v>18127</v>
      </c>
      <c r="BB10" s="30">
        <f t="shared" ref="BB10:BB28" ca="1" si="13">BA10/AZ10</f>
        <v>671.37037037037032</v>
      </c>
      <c r="BC10" s="30">
        <f t="shared" ref="BC10:BC28" ca="1" si="14">BB10*AV10</f>
        <v>2014.1111111111109</v>
      </c>
      <c r="BD10" s="30">
        <f t="shared" ref="BD10:BD28" ca="1" si="15">BA10-BC10</f>
        <v>16112.888888888889</v>
      </c>
      <c r="BF10" s="34"/>
      <c r="BG10" s="31"/>
      <c r="BH10" s="31"/>
      <c r="BI10" s="31"/>
      <c r="BJ10" s="31"/>
    </row>
    <row r="11" spans="1:62" x14ac:dyDescent="0.3">
      <c r="C11" s="31"/>
      <c r="D11" s="31"/>
      <c r="E11" s="32"/>
      <c r="F11" s="8">
        <v>3</v>
      </c>
      <c r="G11" s="9">
        <v>1003</v>
      </c>
      <c r="H11" s="15" t="s">
        <v>5</v>
      </c>
      <c r="I11" s="17">
        <f t="shared" si="7"/>
        <v>5</v>
      </c>
      <c r="J11" s="18" t="s">
        <v>39</v>
      </c>
      <c r="K11" s="18" t="str">
        <f t="shared" si="3"/>
        <v>WO</v>
      </c>
      <c r="L11" s="18" t="s">
        <v>38</v>
      </c>
      <c r="M11" s="18" t="s">
        <v>39</v>
      </c>
      <c r="N11" s="18" t="s">
        <v>38</v>
      </c>
      <c r="O11" s="18" t="s">
        <v>38</v>
      </c>
      <c r="P11" s="18" t="s">
        <v>39</v>
      </c>
      <c r="Q11" s="18" t="s">
        <v>39</v>
      </c>
      <c r="R11" s="18" t="str">
        <f t="shared" si="3"/>
        <v>WO</v>
      </c>
      <c r="S11" s="18" t="s">
        <v>38</v>
      </c>
      <c r="T11" s="18" t="s">
        <v>39</v>
      </c>
      <c r="U11" s="18" t="s">
        <v>38</v>
      </c>
      <c r="V11" s="18" t="s">
        <v>38</v>
      </c>
      <c r="W11" s="18" t="s">
        <v>39</v>
      </c>
      <c r="X11" s="18" t="s">
        <v>39</v>
      </c>
      <c r="Y11" s="18" t="str">
        <f t="shared" si="3"/>
        <v>WO</v>
      </c>
      <c r="Z11" s="18" t="s">
        <v>38</v>
      </c>
      <c r="AA11" s="18" t="s">
        <v>39</v>
      </c>
      <c r="AB11" s="18" t="s">
        <v>38</v>
      </c>
      <c r="AC11" s="18" t="s">
        <v>38</v>
      </c>
      <c r="AD11" s="18" t="s">
        <v>39</v>
      </c>
      <c r="AE11" s="18" t="s">
        <v>39</v>
      </c>
      <c r="AF11" s="18" t="str">
        <f t="shared" si="3"/>
        <v>WO</v>
      </c>
      <c r="AG11" s="18" t="s">
        <v>38</v>
      </c>
      <c r="AH11" s="18" t="s">
        <v>39</v>
      </c>
      <c r="AI11" s="18" t="s">
        <v>38</v>
      </c>
      <c r="AJ11" s="18" t="s">
        <v>38</v>
      </c>
      <c r="AK11" s="18" t="s">
        <v>39</v>
      </c>
      <c r="AL11" s="18" t="s">
        <v>39</v>
      </c>
      <c r="AM11" s="18" t="str">
        <f t="shared" si="3"/>
        <v>WO</v>
      </c>
      <c r="AN11" s="19" t="str">
        <f t="shared" si="3"/>
        <v/>
      </c>
      <c r="AO11" s="32"/>
      <c r="AP11" s="34"/>
      <c r="AQ11" s="9">
        <v>3</v>
      </c>
      <c r="AR11" s="9">
        <v>1003</v>
      </c>
      <c r="AS11" s="9" t="str">
        <f t="shared" si="8"/>
        <v>November</v>
      </c>
      <c r="AT11" s="15" t="s">
        <v>5</v>
      </c>
      <c r="AU11" s="28">
        <f t="shared" si="4"/>
        <v>12</v>
      </c>
      <c r="AV11">
        <f t="shared" si="5"/>
        <v>13</v>
      </c>
      <c r="AW11">
        <f t="shared" si="6"/>
        <v>0</v>
      </c>
      <c r="AX11">
        <f t="shared" si="9"/>
        <v>5</v>
      </c>
      <c r="AY11" s="29">
        <f t="shared" si="10"/>
        <v>30</v>
      </c>
      <c r="AZ11" s="29">
        <f t="shared" si="11"/>
        <v>17</v>
      </c>
      <c r="BA11" s="30">
        <f t="shared" ca="1" si="12"/>
        <v>33088</v>
      </c>
      <c r="BB11" s="30">
        <f t="shared" ca="1" si="13"/>
        <v>1946.3529411764705</v>
      </c>
      <c r="BC11" s="30">
        <f t="shared" ca="1" si="14"/>
        <v>25302.588235294115</v>
      </c>
      <c r="BD11" s="30">
        <f t="shared" ca="1" si="15"/>
        <v>7785.4117647058847</v>
      </c>
      <c r="BF11" s="34"/>
      <c r="BG11" s="31"/>
      <c r="BH11" s="31"/>
      <c r="BI11" s="31"/>
      <c r="BJ11" s="31"/>
    </row>
    <row r="12" spans="1:62" x14ac:dyDescent="0.3">
      <c r="C12" s="31"/>
      <c r="D12" s="31"/>
      <c r="E12" s="32"/>
      <c r="F12" s="8">
        <v>4</v>
      </c>
      <c r="G12" s="9">
        <v>1004</v>
      </c>
      <c r="H12" s="15" t="s">
        <v>6</v>
      </c>
      <c r="I12" s="17">
        <f t="shared" si="7"/>
        <v>5</v>
      </c>
      <c r="J12" s="18" t="s">
        <v>38</v>
      </c>
      <c r="K12" s="18" t="str">
        <f t="shared" si="3"/>
        <v>WO</v>
      </c>
      <c r="L12" s="18" t="s">
        <v>38</v>
      </c>
      <c r="M12" s="18" t="s">
        <v>39</v>
      </c>
      <c r="N12" s="18" t="s">
        <v>38</v>
      </c>
      <c r="O12" s="18" t="s">
        <v>40</v>
      </c>
      <c r="P12" s="18" t="s">
        <v>38</v>
      </c>
      <c r="Q12" s="18" t="s">
        <v>38</v>
      </c>
      <c r="R12" s="18" t="str">
        <f t="shared" si="3"/>
        <v>WO</v>
      </c>
      <c r="S12" s="18" t="s">
        <v>38</v>
      </c>
      <c r="T12" s="18" t="s">
        <v>39</v>
      </c>
      <c r="U12" s="18" t="s">
        <v>38</v>
      </c>
      <c r="V12" s="18" t="s">
        <v>38</v>
      </c>
      <c r="W12" s="18" t="s">
        <v>38</v>
      </c>
      <c r="X12" s="18" t="s">
        <v>38</v>
      </c>
      <c r="Y12" s="18" t="str">
        <f t="shared" si="3"/>
        <v>WO</v>
      </c>
      <c r="Z12" s="18" t="s">
        <v>38</v>
      </c>
      <c r="AA12" s="18" t="s">
        <v>39</v>
      </c>
      <c r="AB12" s="18" t="s">
        <v>38</v>
      </c>
      <c r="AC12" s="18" t="s">
        <v>38</v>
      </c>
      <c r="AD12" s="18" t="s">
        <v>38</v>
      </c>
      <c r="AE12" s="18" t="s">
        <v>38</v>
      </c>
      <c r="AF12" s="18" t="str">
        <f t="shared" si="3"/>
        <v>WO</v>
      </c>
      <c r="AG12" s="18" t="s">
        <v>38</v>
      </c>
      <c r="AH12" s="18" t="s">
        <v>39</v>
      </c>
      <c r="AI12" s="18" t="s">
        <v>38</v>
      </c>
      <c r="AJ12" s="18" t="s">
        <v>38</v>
      </c>
      <c r="AK12" s="18" t="s">
        <v>38</v>
      </c>
      <c r="AL12" s="18" t="s">
        <v>38</v>
      </c>
      <c r="AM12" s="18" t="str">
        <f t="shared" si="3"/>
        <v>WO</v>
      </c>
      <c r="AN12" s="19" t="str">
        <f t="shared" si="3"/>
        <v/>
      </c>
      <c r="AO12" s="32"/>
      <c r="AP12" s="34"/>
      <c r="AQ12" s="9">
        <v>4</v>
      </c>
      <c r="AR12" s="9">
        <v>1004</v>
      </c>
      <c r="AS12" s="9" t="str">
        <f t="shared" si="8"/>
        <v>November</v>
      </c>
      <c r="AT12" s="15" t="s">
        <v>6</v>
      </c>
      <c r="AU12" s="28">
        <f t="shared" si="4"/>
        <v>20</v>
      </c>
      <c r="AV12">
        <f t="shared" si="5"/>
        <v>4</v>
      </c>
      <c r="AW12">
        <f t="shared" si="6"/>
        <v>1</v>
      </c>
      <c r="AX12">
        <f t="shared" si="9"/>
        <v>5</v>
      </c>
      <c r="AY12" s="29">
        <f t="shared" si="10"/>
        <v>30</v>
      </c>
      <c r="AZ12" s="29">
        <f t="shared" si="11"/>
        <v>26</v>
      </c>
      <c r="BA12" s="30">
        <f t="shared" ca="1" si="12"/>
        <v>32212</v>
      </c>
      <c r="BB12" s="30">
        <f t="shared" ca="1" si="13"/>
        <v>1238.9230769230769</v>
      </c>
      <c r="BC12" s="30">
        <f t="shared" ca="1" si="14"/>
        <v>4955.6923076923076</v>
      </c>
      <c r="BD12" s="30">
        <f t="shared" ca="1" si="15"/>
        <v>27256.307692307691</v>
      </c>
      <c r="BF12" s="34"/>
      <c r="BG12" s="31"/>
      <c r="BH12" s="31"/>
      <c r="BI12" s="31"/>
      <c r="BJ12" s="31"/>
    </row>
    <row r="13" spans="1:62" x14ac:dyDescent="0.3">
      <c r="C13" s="31"/>
      <c r="D13" s="31"/>
      <c r="E13" s="32"/>
      <c r="F13" s="8">
        <v>5</v>
      </c>
      <c r="G13" s="9">
        <v>1005</v>
      </c>
      <c r="H13" s="15" t="s">
        <v>7</v>
      </c>
      <c r="I13" s="17">
        <f t="shared" si="7"/>
        <v>5</v>
      </c>
      <c r="J13" s="18" t="s">
        <v>39</v>
      </c>
      <c r="K13" s="18" t="str">
        <f t="shared" si="3"/>
        <v>WO</v>
      </c>
      <c r="L13" s="18" t="s">
        <v>38</v>
      </c>
      <c r="M13" s="18" t="s">
        <v>40</v>
      </c>
      <c r="N13" s="18" t="s">
        <v>39</v>
      </c>
      <c r="O13" s="18" t="s">
        <v>38</v>
      </c>
      <c r="P13" s="18" t="s">
        <v>39</v>
      </c>
      <c r="Q13" s="18" t="s">
        <v>39</v>
      </c>
      <c r="R13" s="18" t="str">
        <f t="shared" si="3"/>
        <v>WO</v>
      </c>
      <c r="S13" s="18" t="s">
        <v>38</v>
      </c>
      <c r="T13" s="18" t="s">
        <v>38</v>
      </c>
      <c r="U13" s="18" t="s">
        <v>39</v>
      </c>
      <c r="V13" s="18" t="s">
        <v>38</v>
      </c>
      <c r="W13" s="18" t="s">
        <v>39</v>
      </c>
      <c r="X13" s="18" t="s">
        <v>39</v>
      </c>
      <c r="Y13" s="18" t="str">
        <f t="shared" si="3"/>
        <v>WO</v>
      </c>
      <c r="Z13" s="18" t="s">
        <v>38</v>
      </c>
      <c r="AA13" s="18" t="s">
        <v>38</v>
      </c>
      <c r="AB13" s="18" t="s">
        <v>40</v>
      </c>
      <c r="AC13" s="18" t="s">
        <v>38</v>
      </c>
      <c r="AD13" s="18" t="s">
        <v>39</v>
      </c>
      <c r="AE13" s="18" t="s">
        <v>39</v>
      </c>
      <c r="AF13" s="18" t="str">
        <f t="shared" si="3"/>
        <v>WO</v>
      </c>
      <c r="AG13" s="18" t="s">
        <v>38</v>
      </c>
      <c r="AH13" s="18" t="s">
        <v>38</v>
      </c>
      <c r="AI13" s="18" t="s">
        <v>39</v>
      </c>
      <c r="AJ13" s="18" t="s">
        <v>40</v>
      </c>
      <c r="AK13" s="18" t="s">
        <v>39</v>
      </c>
      <c r="AL13" s="18" t="s">
        <v>39</v>
      </c>
      <c r="AM13" s="18" t="str">
        <f t="shared" si="3"/>
        <v>WO</v>
      </c>
      <c r="AN13" s="19" t="str">
        <f t="shared" si="3"/>
        <v/>
      </c>
      <c r="AO13" s="32"/>
      <c r="AP13" s="34"/>
      <c r="AQ13" s="9">
        <v>5</v>
      </c>
      <c r="AR13" s="9">
        <v>1005</v>
      </c>
      <c r="AS13" s="9" t="str">
        <f t="shared" si="8"/>
        <v>November</v>
      </c>
      <c r="AT13" s="15" t="s">
        <v>7</v>
      </c>
      <c r="AU13" s="28">
        <f t="shared" si="4"/>
        <v>10</v>
      </c>
      <c r="AV13">
        <f t="shared" si="5"/>
        <v>12</v>
      </c>
      <c r="AW13">
        <f t="shared" si="6"/>
        <v>3</v>
      </c>
      <c r="AX13">
        <f t="shared" si="9"/>
        <v>5</v>
      </c>
      <c r="AY13" s="29">
        <f t="shared" si="10"/>
        <v>30</v>
      </c>
      <c r="AZ13" s="29">
        <f t="shared" si="11"/>
        <v>18</v>
      </c>
      <c r="BA13" s="30">
        <f t="shared" ca="1" si="12"/>
        <v>10102</v>
      </c>
      <c r="BB13" s="30">
        <f t="shared" ca="1" si="13"/>
        <v>561.22222222222217</v>
      </c>
      <c r="BC13" s="30">
        <f t="shared" ca="1" si="14"/>
        <v>6734.6666666666661</v>
      </c>
      <c r="BD13" s="30">
        <f t="shared" ca="1" si="15"/>
        <v>3367.3333333333339</v>
      </c>
      <c r="BF13" s="34"/>
      <c r="BG13" s="31"/>
      <c r="BH13" s="31"/>
      <c r="BI13" s="31"/>
      <c r="BJ13" s="31"/>
    </row>
    <row r="14" spans="1:62" x14ac:dyDescent="0.3">
      <c r="C14" s="31"/>
      <c r="D14" s="31"/>
      <c r="E14" s="32"/>
      <c r="F14" s="8">
        <v>6</v>
      </c>
      <c r="G14" s="9">
        <v>1006</v>
      </c>
      <c r="H14" s="15" t="s">
        <v>8</v>
      </c>
      <c r="I14" s="17">
        <f t="shared" si="7"/>
        <v>5</v>
      </c>
      <c r="J14" s="18" t="s">
        <v>38</v>
      </c>
      <c r="K14" s="18" t="str">
        <f t="shared" si="3"/>
        <v>WO</v>
      </c>
      <c r="L14" s="18" t="s">
        <v>38</v>
      </c>
      <c r="M14" s="18" t="s">
        <v>38</v>
      </c>
      <c r="N14" s="18" t="s">
        <v>40</v>
      </c>
      <c r="O14" s="18" t="s">
        <v>38</v>
      </c>
      <c r="P14" s="18" t="s">
        <v>38</v>
      </c>
      <c r="Q14" s="18" t="s">
        <v>38</v>
      </c>
      <c r="R14" s="18" t="str">
        <f t="shared" si="3"/>
        <v>WO</v>
      </c>
      <c r="S14" s="18" t="s">
        <v>38</v>
      </c>
      <c r="T14" s="18" t="s">
        <v>38</v>
      </c>
      <c r="U14" s="18" t="s">
        <v>39</v>
      </c>
      <c r="V14" s="18" t="s">
        <v>38</v>
      </c>
      <c r="W14" s="18" t="s">
        <v>40</v>
      </c>
      <c r="X14" s="18" t="s">
        <v>38</v>
      </c>
      <c r="Y14" s="18" t="str">
        <f t="shared" si="3"/>
        <v>WO</v>
      </c>
      <c r="Z14" s="18" t="s">
        <v>38</v>
      </c>
      <c r="AA14" s="18" t="s">
        <v>38</v>
      </c>
      <c r="AB14" s="18" t="s">
        <v>39</v>
      </c>
      <c r="AC14" s="18" t="s">
        <v>38</v>
      </c>
      <c r="AD14" s="18" t="s">
        <v>38</v>
      </c>
      <c r="AE14" s="18" t="s">
        <v>38</v>
      </c>
      <c r="AF14" s="18" t="str">
        <f t="shared" si="3"/>
        <v>WO</v>
      </c>
      <c r="AG14" s="18" t="s">
        <v>38</v>
      </c>
      <c r="AH14" s="18" t="s">
        <v>38</v>
      </c>
      <c r="AI14" s="18" t="s">
        <v>39</v>
      </c>
      <c r="AJ14" s="18" t="s">
        <v>38</v>
      </c>
      <c r="AK14" s="18" t="s">
        <v>38</v>
      </c>
      <c r="AL14" s="18" t="s">
        <v>38</v>
      </c>
      <c r="AM14" s="18" t="str">
        <f t="shared" si="3"/>
        <v>WO</v>
      </c>
      <c r="AN14" s="19" t="str">
        <f t="shared" si="3"/>
        <v/>
      </c>
      <c r="AO14" s="32"/>
      <c r="AP14" s="34"/>
      <c r="AQ14" s="9">
        <v>6</v>
      </c>
      <c r="AR14" s="9">
        <v>1006</v>
      </c>
      <c r="AS14" s="9" t="str">
        <f t="shared" si="8"/>
        <v>November</v>
      </c>
      <c r="AT14" s="15" t="s">
        <v>8</v>
      </c>
      <c r="AU14" s="28">
        <f t="shared" si="4"/>
        <v>20</v>
      </c>
      <c r="AV14">
        <f t="shared" si="5"/>
        <v>3</v>
      </c>
      <c r="AW14">
        <f t="shared" si="6"/>
        <v>2</v>
      </c>
      <c r="AX14">
        <f t="shared" si="9"/>
        <v>5</v>
      </c>
      <c r="AY14" s="29">
        <f t="shared" si="10"/>
        <v>30</v>
      </c>
      <c r="AZ14" s="29">
        <f t="shared" si="11"/>
        <v>27</v>
      </c>
      <c r="BA14" s="30">
        <f t="shared" ca="1" si="12"/>
        <v>33503</v>
      </c>
      <c r="BB14" s="30">
        <f t="shared" ca="1" si="13"/>
        <v>1240.851851851852</v>
      </c>
      <c r="BC14" s="30">
        <f t="shared" ca="1" si="14"/>
        <v>3722.5555555555557</v>
      </c>
      <c r="BD14" s="30">
        <f t="shared" ca="1" si="15"/>
        <v>29780.444444444445</v>
      </c>
      <c r="BF14" s="34"/>
      <c r="BG14" s="31"/>
      <c r="BH14" s="31"/>
      <c r="BI14" s="31"/>
      <c r="BJ14" s="31"/>
    </row>
    <row r="15" spans="1:62" x14ac:dyDescent="0.3">
      <c r="C15" s="31"/>
      <c r="D15" s="31"/>
      <c r="E15" s="32"/>
      <c r="F15" s="8">
        <v>7</v>
      </c>
      <c r="G15" s="9">
        <v>1007</v>
      </c>
      <c r="H15" s="15" t="s">
        <v>9</v>
      </c>
      <c r="I15" s="17">
        <f t="shared" si="7"/>
        <v>5</v>
      </c>
      <c r="J15" s="18" t="s">
        <v>38</v>
      </c>
      <c r="K15" s="18" t="str">
        <f t="shared" si="3"/>
        <v>WO</v>
      </c>
      <c r="L15" s="18" t="s">
        <v>38</v>
      </c>
      <c r="M15" s="18" t="s">
        <v>38</v>
      </c>
      <c r="N15" s="18" t="s">
        <v>38</v>
      </c>
      <c r="O15" s="18" t="s">
        <v>38</v>
      </c>
      <c r="P15" s="18" t="s">
        <v>38</v>
      </c>
      <c r="Q15" s="18" t="s">
        <v>38</v>
      </c>
      <c r="R15" s="18" t="str">
        <f t="shared" si="3"/>
        <v>WO</v>
      </c>
      <c r="S15" s="18" t="s">
        <v>38</v>
      </c>
      <c r="T15" s="18" t="s">
        <v>38</v>
      </c>
      <c r="U15" s="18" t="s">
        <v>38</v>
      </c>
      <c r="V15" s="18" t="s">
        <v>38</v>
      </c>
      <c r="W15" s="18" t="s">
        <v>38</v>
      </c>
      <c r="X15" s="18" t="s">
        <v>38</v>
      </c>
      <c r="Y15" s="18" t="str">
        <f t="shared" si="3"/>
        <v>WO</v>
      </c>
      <c r="Z15" s="18" t="s">
        <v>38</v>
      </c>
      <c r="AA15" s="18" t="s">
        <v>38</v>
      </c>
      <c r="AB15" s="18" t="s">
        <v>38</v>
      </c>
      <c r="AC15" s="18" t="s">
        <v>38</v>
      </c>
      <c r="AD15" s="18" t="s">
        <v>38</v>
      </c>
      <c r="AE15" s="18" t="s">
        <v>38</v>
      </c>
      <c r="AF15" s="18" t="str">
        <f t="shared" si="3"/>
        <v>WO</v>
      </c>
      <c r="AG15" s="18" t="s">
        <v>38</v>
      </c>
      <c r="AH15" s="18" t="s">
        <v>38</v>
      </c>
      <c r="AI15" s="18" t="s">
        <v>38</v>
      </c>
      <c r="AJ15" s="18" t="s">
        <v>38</v>
      </c>
      <c r="AK15" s="18" t="s">
        <v>38</v>
      </c>
      <c r="AL15" s="18" t="s">
        <v>38</v>
      </c>
      <c r="AM15" s="18" t="str">
        <f t="shared" si="3"/>
        <v>WO</v>
      </c>
      <c r="AN15" s="19" t="str">
        <f t="shared" si="3"/>
        <v/>
      </c>
      <c r="AO15" s="32"/>
      <c r="AP15" s="34"/>
      <c r="AQ15" s="9">
        <v>7</v>
      </c>
      <c r="AR15" s="9">
        <v>1007</v>
      </c>
      <c r="AS15" s="9" t="str">
        <f t="shared" si="8"/>
        <v>November</v>
      </c>
      <c r="AT15" s="15" t="s">
        <v>9</v>
      </c>
      <c r="AU15" s="28">
        <f t="shared" si="4"/>
        <v>25</v>
      </c>
      <c r="AV15">
        <f t="shared" si="5"/>
        <v>0</v>
      </c>
      <c r="AW15">
        <f t="shared" si="6"/>
        <v>0</v>
      </c>
      <c r="AX15">
        <f t="shared" si="9"/>
        <v>5</v>
      </c>
      <c r="AY15" s="29">
        <f t="shared" si="10"/>
        <v>30</v>
      </c>
      <c r="AZ15" s="29">
        <f t="shared" si="11"/>
        <v>30</v>
      </c>
      <c r="BA15" s="30">
        <f t="shared" ca="1" si="12"/>
        <v>33469</v>
      </c>
      <c r="BB15" s="30">
        <f t="shared" ca="1" si="13"/>
        <v>1115.6333333333334</v>
      </c>
      <c r="BC15" s="30">
        <f t="shared" ca="1" si="14"/>
        <v>0</v>
      </c>
      <c r="BD15" s="30">
        <f t="shared" ca="1" si="15"/>
        <v>33469</v>
      </c>
      <c r="BF15" s="34"/>
      <c r="BG15" s="31"/>
      <c r="BH15" s="31"/>
      <c r="BI15" s="31"/>
      <c r="BJ15" s="31"/>
    </row>
    <row r="16" spans="1:62" x14ac:dyDescent="0.3">
      <c r="C16" s="31"/>
      <c r="D16" s="31"/>
      <c r="E16" s="32"/>
      <c r="F16" s="8">
        <v>8</v>
      </c>
      <c r="G16" s="9">
        <v>1008</v>
      </c>
      <c r="H16" s="15" t="s">
        <v>10</v>
      </c>
      <c r="I16" s="17">
        <f t="shared" si="7"/>
        <v>5</v>
      </c>
      <c r="J16" s="18" t="s">
        <v>39</v>
      </c>
      <c r="K16" s="18" t="str">
        <f t="shared" si="3"/>
        <v>WO</v>
      </c>
      <c r="L16" s="18" t="s">
        <v>38</v>
      </c>
      <c r="M16" s="18" t="s">
        <v>39</v>
      </c>
      <c r="N16" s="18" t="s">
        <v>38</v>
      </c>
      <c r="O16" s="18" t="s">
        <v>38</v>
      </c>
      <c r="P16" s="18" t="s">
        <v>39</v>
      </c>
      <c r="Q16" s="18" t="s">
        <v>39</v>
      </c>
      <c r="R16" s="18" t="str">
        <f t="shared" si="3"/>
        <v>WO</v>
      </c>
      <c r="S16" s="18" t="s">
        <v>38</v>
      </c>
      <c r="T16" s="18" t="s">
        <v>39</v>
      </c>
      <c r="U16" s="18" t="s">
        <v>38</v>
      </c>
      <c r="V16" s="18" t="s">
        <v>38</v>
      </c>
      <c r="W16" s="18" t="s">
        <v>39</v>
      </c>
      <c r="X16" s="18" t="s">
        <v>39</v>
      </c>
      <c r="Y16" s="18" t="str">
        <f t="shared" si="3"/>
        <v>WO</v>
      </c>
      <c r="Z16" s="18" t="s">
        <v>38</v>
      </c>
      <c r="AA16" s="18" t="s">
        <v>39</v>
      </c>
      <c r="AB16" s="18" t="s">
        <v>38</v>
      </c>
      <c r="AC16" s="18" t="s">
        <v>38</v>
      </c>
      <c r="AD16" s="18" t="s">
        <v>39</v>
      </c>
      <c r="AE16" s="18" t="s">
        <v>39</v>
      </c>
      <c r="AF16" s="18" t="str">
        <f t="shared" si="3"/>
        <v>WO</v>
      </c>
      <c r="AG16" s="18" t="s">
        <v>38</v>
      </c>
      <c r="AH16" s="18" t="s">
        <v>39</v>
      </c>
      <c r="AI16" s="18" t="s">
        <v>38</v>
      </c>
      <c r="AJ16" s="18" t="s">
        <v>38</v>
      </c>
      <c r="AK16" s="18" t="s">
        <v>39</v>
      </c>
      <c r="AL16" s="18" t="s">
        <v>39</v>
      </c>
      <c r="AM16" s="18" t="str">
        <f t="shared" si="3"/>
        <v>WO</v>
      </c>
      <c r="AN16" s="19" t="str">
        <f t="shared" si="3"/>
        <v/>
      </c>
      <c r="AO16" s="32"/>
      <c r="AP16" s="34"/>
      <c r="AQ16" s="9">
        <v>8</v>
      </c>
      <c r="AR16" s="9">
        <v>1008</v>
      </c>
      <c r="AS16" s="9" t="str">
        <f t="shared" si="8"/>
        <v>November</v>
      </c>
      <c r="AT16" s="15" t="s">
        <v>10</v>
      </c>
      <c r="AU16" s="28">
        <f t="shared" si="4"/>
        <v>12</v>
      </c>
      <c r="AV16">
        <f t="shared" si="5"/>
        <v>13</v>
      </c>
      <c r="AW16">
        <f t="shared" si="6"/>
        <v>0</v>
      </c>
      <c r="AX16">
        <f t="shared" si="9"/>
        <v>5</v>
      </c>
      <c r="AY16" s="29">
        <f t="shared" si="10"/>
        <v>30</v>
      </c>
      <c r="AZ16" s="29">
        <f t="shared" si="11"/>
        <v>17</v>
      </c>
      <c r="BA16" s="30">
        <f t="shared" ca="1" si="12"/>
        <v>27118</v>
      </c>
      <c r="BB16" s="30">
        <f t="shared" ca="1" si="13"/>
        <v>1595.1764705882354</v>
      </c>
      <c r="BC16" s="30">
        <f t="shared" ca="1" si="14"/>
        <v>20737.294117647059</v>
      </c>
      <c r="BD16" s="30">
        <f t="shared" ca="1" si="15"/>
        <v>6380.7058823529405</v>
      </c>
      <c r="BF16" s="34"/>
      <c r="BG16" s="31"/>
      <c r="BH16" s="31"/>
      <c r="BI16" s="31"/>
      <c r="BJ16" s="31"/>
    </row>
    <row r="17" spans="1:62" x14ac:dyDescent="0.3">
      <c r="C17" s="31"/>
      <c r="D17" s="31"/>
      <c r="E17" s="32"/>
      <c r="F17" s="8">
        <v>9</v>
      </c>
      <c r="G17" s="9">
        <v>1009</v>
      </c>
      <c r="H17" s="15" t="s">
        <v>11</v>
      </c>
      <c r="I17" s="17">
        <f t="shared" si="7"/>
        <v>5</v>
      </c>
      <c r="J17" s="18" t="s">
        <v>38</v>
      </c>
      <c r="K17" s="18" t="str">
        <f t="shared" si="3"/>
        <v>WO</v>
      </c>
      <c r="L17" s="18" t="s">
        <v>38</v>
      </c>
      <c r="M17" s="18" t="s">
        <v>38</v>
      </c>
      <c r="N17" s="18" t="s">
        <v>38</v>
      </c>
      <c r="O17" s="18" t="s">
        <v>38</v>
      </c>
      <c r="P17" s="18" t="s">
        <v>38</v>
      </c>
      <c r="Q17" s="18" t="s">
        <v>38</v>
      </c>
      <c r="R17" s="18" t="str">
        <f t="shared" si="3"/>
        <v>WO</v>
      </c>
      <c r="S17" s="18" t="s">
        <v>38</v>
      </c>
      <c r="T17" s="18" t="s">
        <v>38</v>
      </c>
      <c r="U17" s="18" t="s">
        <v>38</v>
      </c>
      <c r="V17" s="18" t="s">
        <v>38</v>
      </c>
      <c r="W17" s="18" t="s">
        <v>38</v>
      </c>
      <c r="X17" s="18" t="s">
        <v>38</v>
      </c>
      <c r="Y17" s="18" t="str">
        <f t="shared" si="3"/>
        <v>WO</v>
      </c>
      <c r="Z17" s="18" t="s">
        <v>38</v>
      </c>
      <c r="AA17" s="18" t="s">
        <v>38</v>
      </c>
      <c r="AB17" s="18" t="s">
        <v>38</v>
      </c>
      <c r="AC17" s="18" t="s">
        <v>38</v>
      </c>
      <c r="AD17" s="18" t="s">
        <v>38</v>
      </c>
      <c r="AE17" s="18" t="s">
        <v>38</v>
      </c>
      <c r="AF17" s="18" t="str">
        <f t="shared" ref="AF17:AN28" si="16">IF(AF$7="Sun","WO","")</f>
        <v>WO</v>
      </c>
      <c r="AG17" s="18" t="s">
        <v>38</v>
      </c>
      <c r="AH17" s="18" t="s">
        <v>40</v>
      </c>
      <c r="AI17" s="18" t="s">
        <v>38</v>
      </c>
      <c r="AJ17" s="18" t="s">
        <v>38</v>
      </c>
      <c r="AK17" s="18" t="s">
        <v>38</v>
      </c>
      <c r="AL17" s="18" t="s">
        <v>38</v>
      </c>
      <c r="AM17" s="18" t="str">
        <f t="shared" si="16"/>
        <v>WO</v>
      </c>
      <c r="AN17" s="19" t="str">
        <f t="shared" si="16"/>
        <v/>
      </c>
      <c r="AO17" s="32"/>
      <c r="AP17" s="34"/>
      <c r="AQ17" s="9">
        <v>9</v>
      </c>
      <c r="AR17" s="9">
        <v>1009</v>
      </c>
      <c r="AS17" s="9" t="str">
        <f t="shared" si="8"/>
        <v>November</v>
      </c>
      <c r="AT17" s="15" t="s">
        <v>11</v>
      </c>
      <c r="AU17" s="28">
        <f t="shared" si="4"/>
        <v>24</v>
      </c>
      <c r="AV17">
        <f t="shared" si="5"/>
        <v>0</v>
      </c>
      <c r="AW17">
        <f t="shared" si="6"/>
        <v>1</v>
      </c>
      <c r="AX17">
        <f t="shared" si="9"/>
        <v>5</v>
      </c>
      <c r="AY17" s="29">
        <f t="shared" si="10"/>
        <v>30</v>
      </c>
      <c r="AZ17" s="29">
        <f t="shared" si="11"/>
        <v>30</v>
      </c>
      <c r="BA17" s="30">
        <f t="shared" ca="1" si="12"/>
        <v>27544</v>
      </c>
      <c r="BB17" s="30">
        <f t="shared" ca="1" si="13"/>
        <v>918.13333333333333</v>
      </c>
      <c r="BC17" s="30">
        <f t="shared" ca="1" si="14"/>
        <v>0</v>
      </c>
      <c r="BD17" s="30">
        <f t="shared" ca="1" si="15"/>
        <v>27544</v>
      </c>
      <c r="BF17" s="34"/>
      <c r="BG17" s="31"/>
      <c r="BH17" s="31"/>
      <c r="BI17" s="31"/>
      <c r="BJ17" s="31"/>
    </row>
    <row r="18" spans="1:62" x14ac:dyDescent="0.3">
      <c r="C18" s="31"/>
      <c r="D18" s="31"/>
      <c r="E18" s="32"/>
      <c r="F18" s="8">
        <v>10</v>
      </c>
      <c r="G18" s="9">
        <v>1010</v>
      </c>
      <c r="H18" s="15" t="s">
        <v>12</v>
      </c>
      <c r="I18" s="17">
        <f t="shared" si="7"/>
        <v>5</v>
      </c>
      <c r="J18" s="18" t="s">
        <v>38</v>
      </c>
      <c r="K18" s="18" t="str">
        <f t="shared" ref="K18:Y28" si="17">IF(K$7="Sun","WO","")</f>
        <v>WO</v>
      </c>
      <c r="L18" s="18" t="s">
        <v>38</v>
      </c>
      <c r="M18" s="18" t="s">
        <v>38</v>
      </c>
      <c r="N18" s="18" t="s">
        <v>40</v>
      </c>
      <c r="O18" s="18" t="s">
        <v>38</v>
      </c>
      <c r="P18" s="18" t="s">
        <v>38</v>
      </c>
      <c r="Q18" s="18" t="s">
        <v>38</v>
      </c>
      <c r="R18" s="18" t="str">
        <f t="shared" si="17"/>
        <v>WO</v>
      </c>
      <c r="S18" s="18" t="s">
        <v>38</v>
      </c>
      <c r="T18" s="18" t="s">
        <v>38</v>
      </c>
      <c r="U18" s="18" t="s">
        <v>39</v>
      </c>
      <c r="V18" s="18" t="s">
        <v>38</v>
      </c>
      <c r="W18" s="18" t="s">
        <v>38</v>
      </c>
      <c r="X18" s="18" t="s">
        <v>38</v>
      </c>
      <c r="Y18" s="18" t="str">
        <f t="shared" si="17"/>
        <v>WO</v>
      </c>
      <c r="Z18" s="18" t="s">
        <v>38</v>
      </c>
      <c r="AA18" s="18" t="s">
        <v>38</v>
      </c>
      <c r="AB18" s="18" t="s">
        <v>39</v>
      </c>
      <c r="AC18" s="18" t="s">
        <v>40</v>
      </c>
      <c r="AD18" s="18" t="s">
        <v>38</v>
      </c>
      <c r="AE18" s="18" t="s">
        <v>38</v>
      </c>
      <c r="AF18" s="18" t="str">
        <f t="shared" si="16"/>
        <v>WO</v>
      </c>
      <c r="AG18" s="18" t="s">
        <v>38</v>
      </c>
      <c r="AH18" s="18" t="s">
        <v>38</v>
      </c>
      <c r="AI18" s="18" t="s">
        <v>39</v>
      </c>
      <c r="AJ18" s="18" t="s">
        <v>40</v>
      </c>
      <c r="AK18" s="18" t="s">
        <v>38</v>
      </c>
      <c r="AL18" s="18" t="s">
        <v>38</v>
      </c>
      <c r="AM18" s="18" t="str">
        <f t="shared" si="16"/>
        <v>WO</v>
      </c>
      <c r="AN18" s="19" t="str">
        <f t="shared" si="16"/>
        <v/>
      </c>
      <c r="AO18" s="32"/>
      <c r="AP18" s="34"/>
      <c r="AQ18" s="9">
        <v>10</v>
      </c>
      <c r="AR18" s="9">
        <v>1010</v>
      </c>
      <c r="AS18" s="9" t="str">
        <f t="shared" si="8"/>
        <v>November</v>
      </c>
      <c r="AT18" s="15" t="s">
        <v>12</v>
      </c>
      <c r="AU18" s="28">
        <f t="shared" si="4"/>
        <v>19</v>
      </c>
      <c r="AV18">
        <f t="shared" si="5"/>
        <v>3</v>
      </c>
      <c r="AW18">
        <f t="shared" si="6"/>
        <v>3</v>
      </c>
      <c r="AX18">
        <f t="shared" si="9"/>
        <v>5</v>
      </c>
      <c r="AY18" s="29">
        <f t="shared" si="10"/>
        <v>30</v>
      </c>
      <c r="AZ18" s="29">
        <f t="shared" si="11"/>
        <v>27</v>
      </c>
      <c r="BA18" s="30">
        <f t="shared" ca="1" si="12"/>
        <v>16854</v>
      </c>
      <c r="BB18" s="30">
        <f t="shared" ca="1" si="13"/>
        <v>624.22222222222217</v>
      </c>
      <c r="BC18" s="30">
        <f t="shared" ca="1" si="14"/>
        <v>1872.6666666666665</v>
      </c>
      <c r="BD18" s="30">
        <f t="shared" ca="1" si="15"/>
        <v>14981.333333333334</v>
      </c>
      <c r="BF18" s="34"/>
      <c r="BG18" s="31"/>
      <c r="BH18" s="31"/>
      <c r="BI18" s="31"/>
      <c r="BJ18" s="31"/>
    </row>
    <row r="19" spans="1:62" x14ac:dyDescent="0.3">
      <c r="C19" s="31"/>
      <c r="D19" s="31"/>
      <c r="E19" s="32"/>
      <c r="F19" s="8">
        <v>11</v>
      </c>
      <c r="G19" s="9">
        <v>1011</v>
      </c>
      <c r="H19" s="15" t="s">
        <v>13</v>
      </c>
      <c r="I19" s="17">
        <f t="shared" si="7"/>
        <v>5</v>
      </c>
      <c r="J19" s="18" t="s">
        <v>38</v>
      </c>
      <c r="K19" s="18" t="str">
        <f t="shared" si="17"/>
        <v>WO</v>
      </c>
      <c r="L19" s="18" t="s">
        <v>38</v>
      </c>
      <c r="M19" s="18" t="s">
        <v>38</v>
      </c>
      <c r="N19" s="18" t="s">
        <v>38</v>
      </c>
      <c r="O19" s="18" t="s">
        <v>38</v>
      </c>
      <c r="P19" s="18" t="s">
        <v>38</v>
      </c>
      <c r="Q19" s="18" t="s">
        <v>38</v>
      </c>
      <c r="R19" s="18" t="str">
        <f t="shared" si="17"/>
        <v>WO</v>
      </c>
      <c r="S19" s="18" t="s">
        <v>38</v>
      </c>
      <c r="T19" s="18" t="s">
        <v>38</v>
      </c>
      <c r="U19" s="18" t="s">
        <v>38</v>
      </c>
      <c r="V19" s="18" t="s">
        <v>38</v>
      </c>
      <c r="W19" s="18" t="s">
        <v>38</v>
      </c>
      <c r="X19" s="18" t="s">
        <v>38</v>
      </c>
      <c r="Y19" s="18" t="str">
        <f t="shared" si="17"/>
        <v>WO</v>
      </c>
      <c r="Z19" s="18" t="s">
        <v>38</v>
      </c>
      <c r="AA19" s="18" t="s">
        <v>38</v>
      </c>
      <c r="AB19" s="18" t="s">
        <v>38</v>
      </c>
      <c r="AC19" s="18" t="s">
        <v>40</v>
      </c>
      <c r="AD19" s="18" t="s">
        <v>38</v>
      </c>
      <c r="AE19" s="18" t="s">
        <v>38</v>
      </c>
      <c r="AF19" s="18" t="str">
        <f t="shared" si="16"/>
        <v>WO</v>
      </c>
      <c r="AG19" s="18" t="s">
        <v>38</v>
      </c>
      <c r="AH19" s="18" t="s">
        <v>38</v>
      </c>
      <c r="AI19" s="18" t="s">
        <v>38</v>
      </c>
      <c r="AJ19" s="18" t="s">
        <v>38</v>
      </c>
      <c r="AK19" s="18" t="s">
        <v>38</v>
      </c>
      <c r="AL19" s="18" t="s">
        <v>38</v>
      </c>
      <c r="AM19" s="18" t="str">
        <f t="shared" si="16"/>
        <v>WO</v>
      </c>
      <c r="AN19" s="19" t="str">
        <f t="shared" si="16"/>
        <v/>
      </c>
      <c r="AO19" s="32"/>
      <c r="AP19" s="34"/>
      <c r="AQ19" s="9">
        <v>11</v>
      </c>
      <c r="AR19" s="9">
        <v>1011</v>
      </c>
      <c r="AS19" s="9" t="str">
        <f t="shared" si="8"/>
        <v>November</v>
      </c>
      <c r="AT19" s="15" t="s">
        <v>13</v>
      </c>
      <c r="AU19" s="28">
        <f t="shared" si="4"/>
        <v>24</v>
      </c>
      <c r="AV19">
        <f t="shared" si="5"/>
        <v>0</v>
      </c>
      <c r="AW19">
        <f t="shared" si="6"/>
        <v>1</v>
      </c>
      <c r="AX19">
        <f t="shared" si="9"/>
        <v>5</v>
      </c>
      <c r="AY19" s="29">
        <f t="shared" si="10"/>
        <v>30</v>
      </c>
      <c r="AZ19" s="29">
        <f t="shared" si="11"/>
        <v>30</v>
      </c>
      <c r="BA19" s="30">
        <f t="shared" ca="1" si="12"/>
        <v>31418</v>
      </c>
      <c r="BB19" s="30">
        <f t="shared" ca="1" si="13"/>
        <v>1047.2666666666667</v>
      </c>
      <c r="BC19" s="30">
        <f t="shared" ca="1" si="14"/>
        <v>0</v>
      </c>
      <c r="BD19" s="30">
        <f t="shared" ca="1" si="15"/>
        <v>31418</v>
      </c>
      <c r="BF19" s="34"/>
      <c r="BG19" s="31"/>
      <c r="BH19" s="31"/>
      <c r="BI19" s="31"/>
      <c r="BJ19" s="31"/>
    </row>
    <row r="20" spans="1:62" x14ac:dyDescent="0.3">
      <c r="C20" s="31"/>
      <c r="D20" s="31"/>
      <c r="E20" s="32"/>
      <c r="F20" s="8">
        <v>12</v>
      </c>
      <c r="G20" s="9">
        <v>1012</v>
      </c>
      <c r="H20" s="15" t="s">
        <v>14</v>
      </c>
      <c r="I20" s="17">
        <f t="shared" si="7"/>
        <v>5</v>
      </c>
      <c r="J20" s="18" t="s">
        <v>38</v>
      </c>
      <c r="K20" s="18" t="str">
        <f t="shared" si="17"/>
        <v>WO</v>
      </c>
      <c r="L20" s="18" t="s">
        <v>38</v>
      </c>
      <c r="M20" s="18" t="s">
        <v>38</v>
      </c>
      <c r="N20" s="18" t="s">
        <v>38</v>
      </c>
      <c r="O20" s="18" t="s">
        <v>38</v>
      </c>
      <c r="P20" s="18" t="s">
        <v>38</v>
      </c>
      <c r="Q20" s="18" t="s">
        <v>38</v>
      </c>
      <c r="R20" s="18" t="str">
        <f t="shared" si="17"/>
        <v>WO</v>
      </c>
      <c r="S20" s="18" t="s">
        <v>38</v>
      </c>
      <c r="T20" s="18" t="s">
        <v>38</v>
      </c>
      <c r="U20" s="18" t="s">
        <v>38</v>
      </c>
      <c r="V20" s="18" t="s">
        <v>38</v>
      </c>
      <c r="W20" s="18" t="s">
        <v>38</v>
      </c>
      <c r="X20" s="18" t="s">
        <v>38</v>
      </c>
      <c r="Y20" s="18" t="str">
        <f t="shared" si="17"/>
        <v>WO</v>
      </c>
      <c r="Z20" s="18" t="s">
        <v>38</v>
      </c>
      <c r="AA20" s="18" t="s">
        <v>38</v>
      </c>
      <c r="AB20" s="18" t="s">
        <v>38</v>
      </c>
      <c r="AC20" s="18" t="s">
        <v>38</v>
      </c>
      <c r="AD20" s="18" t="s">
        <v>38</v>
      </c>
      <c r="AE20" s="18" t="s">
        <v>38</v>
      </c>
      <c r="AF20" s="18" t="str">
        <f t="shared" si="16"/>
        <v>WO</v>
      </c>
      <c r="AG20" s="18" t="s">
        <v>38</v>
      </c>
      <c r="AH20" s="18" t="s">
        <v>38</v>
      </c>
      <c r="AI20" s="18" t="s">
        <v>38</v>
      </c>
      <c r="AJ20" s="18" t="s">
        <v>38</v>
      </c>
      <c r="AK20" s="18" t="s">
        <v>38</v>
      </c>
      <c r="AL20" s="18" t="s">
        <v>38</v>
      </c>
      <c r="AM20" s="18" t="str">
        <f t="shared" si="16"/>
        <v>WO</v>
      </c>
      <c r="AN20" s="19" t="str">
        <f t="shared" si="16"/>
        <v/>
      </c>
      <c r="AO20" s="32"/>
      <c r="AP20" s="34"/>
      <c r="AQ20" s="9">
        <v>12</v>
      </c>
      <c r="AR20" s="9">
        <v>1012</v>
      </c>
      <c r="AS20" s="9" t="str">
        <f t="shared" si="8"/>
        <v>November</v>
      </c>
      <c r="AT20" s="15" t="s">
        <v>14</v>
      </c>
      <c r="AU20" s="28">
        <f t="shared" si="4"/>
        <v>25</v>
      </c>
      <c r="AV20">
        <f t="shared" si="5"/>
        <v>0</v>
      </c>
      <c r="AW20">
        <f t="shared" si="6"/>
        <v>0</v>
      </c>
      <c r="AX20">
        <f t="shared" si="9"/>
        <v>5</v>
      </c>
      <c r="AY20" s="29">
        <f t="shared" si="10"/>
        <v>30</v>
      </c>
      <c r="AZ20" s="29">
        <f t="shared" si="11"/>
        <v>30</v>
      </c>
      <c r="BA20" s="30">
        <f t="shared" ca="1" si="12"/>
        <v>39143</v>
      </c>
      <c r="BB20" s="30">
        <f t="shared" ca="1" si="13"/>
        <v>1304.7666666666667</v>
      </c>
      <c r="BC20" s="30">
        <f t="shared" ca="1" si="14"/>
        <v>0</v>
      </c>
      <c r="BD20" s="30">
        <f t="shared" ca="1" si="15"/>
        <v>39143</v>
      </c>
      <c r="BF20" s="34"/>
      <c r="BG20" s="31"/>
      <c r="BH20" s="31"/>
      <c r="BI20" s="31"/>
      <c r="BJ20" s="31"/>
    </row>
    <row r="21" spans="1:62" x14ac:dyDescent="0.3">
      <c r="C21" s="31"/>
      <c r="D21" s="31"/>
      <c r="E21" s="32"/>
      <c r="F21" s="8">
        <v>13</v>
      </c>
      <c r="G21" s="9">
        <v>1013</v>
      </c>
      <c r="H21" s="15" t="s">
        <v>15</v>
      </c>
      <c r="I21" s="17">
        <f t="shared" si="7"/>
        <v>5</v>
      </c>
      <c r="J21" s="18" t="s">
        <v>38</v>
      </c>
      <c r="K21" s="18" t="str">
        <f t="shared" si="17"/>
        <v>WO</v>
      </c>
      <c r="L21" s="18" t="s">
        <v>38</v>
      </c>
      <c r="M21" s="18" t="s">
        <v>39</v>
      </c>
      <c r="N21" s="18" t="s">
        <v>38</v>
      </c>
      <c r="O21" s="18" t="s">
        <v>40</v>
      </c>
      <c r="P21" s="18" t="s">
        <v>38</v>
      </c>
      <c r="Q21" s="18" t="s">
        <v>38</v>
      </c>
      <c r="R21" s="18" t="str">
        <f t="shared" si="17"/>
        <v>WO</v>
      </c>
      <c r="S21" s="18" t="s">
        <v>38</v>
      </c>
      <c r="T21" s="18" t="s">
        <v>39</v>
      </c>
      <c r="U21" s="18" t="s">
        <v>40</v>
      </c>
      <c r="V21" s="18" t="s">
        <v>38</v>
      </c>
      <c r="W21" s="18" t="s">
        <v>38</v>
      </c>
      <c r="X21" s="18" t="s">
        <v>38</v>
      </c>
      <c r="Y21" s="18" t="str">
        <f t="shared" si="17"/>
        <v>WO</v>
      </c>
      <c r="Z21" s="18" t="s">
        <v>38</v>
      </c>
      <c r="AA21" s="18" t="s">
        <v>39</v>
      </c>
      <c r="AB21" s="18" t="s">
        <v>38</v>
      </c>
      <c r="AC21" s="18" t="s">
        <v>38</v>
      </c>
      <c r="AD21" s="18" t="s">
        <v>40</v>
      </c>
      <c r="AE21" s="18" t="s">
        <v>38</v>
      </c>
      <c r="AF21" s="18" t="str">
        <f t="shared" si="16"/>
        <v>WO</v>
      </c>
      <c r="AG21" s="18" t="s">
        <v>38</v>
      </c>
      <c r="AH21" s="18" t="s">
        <v>39</v>
      </c>
      <c r="AI21" s="18" t="s">
        <v>38</v>
      </c>
      <c r="AJ21" s="18" t="s">
        <v>38</v>
      </c>
      <c r="AK21" s="18" t="s">
        <v>38</v>
      </c>
      <c r="AL21" s="18" t="s">
        <v>38</v>
      </c>
      <c r="AM21" s="18" t="str">
        <f t="shared" si="16"/>
        <v>WO</v>
      </c>
      <c r="AN21" s="19" t="str">
        <f t="shared" si="16"/>
        <v/>
      </c>
      <c r="AO21" s="32"/>
      <c r="AP21" s="34"/>
      <c r="AQ21" s="9">
        <v>13</v>
      </c>
      <c r="AR21" s="9">
        <v>1013</v>
      </c>
      <c r="AS21" s="9" t="str">
        <f t="shared" si="8"/>
        <v>November</v>
      </c>
      <c r="AT21" s="15" t="s">
        <v>15</v>
      </c>
      <c r="AU21" s="28">
        <f t="shared" si="4"/>
        <v>18</v>
      </c>
      <c r="AV21">
        <f t="shared" si="5"/>
        <v>4</v>
      </c>
      <c r="AW21">
        <f t="shared" si="6"/>
        <v>3</v>
      </c>
      <c r="AX21">
        <f t="shared" si="9"/>
        <v>5</v>
      </c>
      <c r="AY21" s="29">
        <f t="shared" si="10"/>
        <v>30</v>
      </c>
      <c r="AZ21" s="29">
        <f t="shared" si="11"/>
        <v>26</v>
      </c>
      <c r="BA21" s="30">
        <f t="shared" ca="1" si="12"/>
        <v>26520</v>
      </c>
      <c r="BB21" s="30">
        <f t="shared" ca="1" si="13"/>
        <v>1020</v>
      </c>
      <c r="BC21" s="30">
        <f t="shared" ca="1" si="14"/>
        <v>4080</v>
      </c>
      <c r="BD21" s="30">
        <f t="shared" ca="1" si="15"/>
        <v>22440</v>
      </c>
      <c r="BF21" s="34"/>
      <c r="BG21" s="31"/>
      <c r="BH21" s="31"/>
      <c r="BI21" s="31"/>
      <c r="BJ21" s="31"/>
    </row>
    <row r="22" spans="1:62" x14ac:dyDescent="0.3">
      <c r="C22" s="31"/>
      <c r="D22" s="31"/>
      <c r="E22" s="32"/>
      <c r="F22" s="8">
        <v>14</v>
      </c>
      <c r="G22" s="9">
        <v>1014</v>
      </c>
      <c r="H22" s="15" t="s">
        <v>16</v>
      </c>
      <c r="I22" s="17">
        <f t="shared" si="7"/>
        <v>5</v>
      </c>
      <c r="J22" s="18" t="s">
        <v>38</v>
      </c>
      <c r="K22" s="18" t="str">
        <f t="shared" si="17"/>
        <v>WO</v>
      </c>
      <c r="L22" s="18" t="s">
        <v>38</v>
      </c>
      <c r="M22" s="18" t="s">
        <v>38</v>
      </c>
      <c r="N22" s="18" t="s">
        <v>38</v>
      </c>
      <c r="O22" s="18" t="s">
        <v>38</v>
      </c>
      <c r="P22" s="18" t="s">
        <v>38</v>
      </c>
      <c r="Q22" s="18" t="s">
        <v>38</v>
      </c>
      <c r="R22" s="18" t="str">
        <f t="shared" si="17"/>
        <v>WO</v>
      </c>
      <c r="S22" s="18" t="s">
        <v>38</v>
      </c>
      <c r="T22" s="18" t="s">
        <v>38</v>
      </c>
      <c r="U22" s="18" t="s">
        <v>38</v>
      </c>
      <c r="V22" s="18" t="s">
        <v>38</v>
      </c>
      <c r="W22" s="18" t="s">
        <v>38</v>
      </c>
      <c r="X22" s="18" t="s">
        <v>38</v>
      </c>
      <c r="Y22" s="18" t="str">
        <f t="shared" si="17"/>
        <v>WO</v>
      </c>
      <c r="Z22" s="18" t="s">
        <v>38</v>
      </c>
      <c r="AA22" s="18" t="s">
        <v>38</v>
      </c>
      <c r="AB22" s="18" t="s">
        <v>38</v>
      </c>
      <c r="AC22" s="18" t="s">
        <v>40</v>
      </c>
      <c r="AD22" s="18" t="s">
        <v>38</v>
      </c>
      <c r="AE22" s="18" t="s">
        <v>38</v>
      </c>
      <c r="AF22" s="18" t="str">
        <f t="shared" si="16"/>
        <v>WO</v>
      </c>
      <c r="AG22" s="18" t="s">
        <v>38</v>
      </c>
      <c r="AH22" s="18" t="s">
        <v>38</v>
      </c>
      <c r="AI22" s="18" t="s">
        <v>38</v>
      </c>
      <c r="AJ22" s="18" t="s">
        <v>38</v>
      </c>
      <c r="AK22" s="18" t="s">
        <v>38</v>
      </c>
      <c r="AL22" s="18" t="s">
        <v>38</v>
      </c>
      <c r="AM22" s="18" t="str">
        <f t="shared" si="16"/>
        <v>WO</v>
      </c>
      <c r="AN22" s="19" t="str">
        <f t="shared" si="16"/>
        <v/>
      </c>
      <c r="AO22" s="32"/>
      <c r="AP22" s="34"/>
      <c r="AQ22" s="9">
        <v>14</v>
      </c>
      <c r="AR22" s="9">
        <v>1014</v>
      </c>
      <c r="AS22" s="9" t="str">
        <f t="shared" si="8"/>
        <v>November</v>
      </c>
      <c r="AT22" s="15" t="s">
        <v>16</v>
      </c>
      <c r="AU22" s="28">
        <f t="shared" si="4"/>
        <v>24</v>
      </c>
      <c r="AV22">
        <f t="shared" si="5"/>
        <v>0</v>
      </c>
      <c r="AW22">
        <f t="shared" si="6"/>
        <v>1</v>
      </c>
      <c r="AX22">
        <f t="shared" si="9"/>
        <v>5</v>
      </c>
      <c r="AY22" s="29">
        <f t="shared" si="10"/>
        <v>30</v>
      </c>
      <c r="AZ22" s="29">
        <f t="shared" si="11"/>
        <v>30</v>
      </c>
      <c r="BA22" s="30">
        <f t="shared" ca="1" si="12"/>
        <v>49452</v>
      </c>
      <c r="BB22" s="30">
        <f t="shared" ca="1" si="13"/>
        <v>1648.4</v>
      </c>
      <c r="BC22" s="30">
        <f t="shared" ca="1" si="14"/>
        <v>0</v>
      </c>
      <c r="BD22" s="30">
        <f t="shared" ca="1" si="15"/>
        <v>49452</v>
      </c>
      <c r="BF22" s="34"/>
      <c r="BG22" s="31"/>
      <c r="BH22" s="31"/>
      <c r="BI22" s="31"/>
      <c r="BJ22" s="31"/>
    </row>
    <row r="23" spans="1:62" x14ac:dyDescent="0.3">
      <c r="C23" s="31"/>
      <c r="D23" s="31"/>
      <c r="E23" s="32"/>
      <c r="F23" s="8">
        <v>15</v>
      </c>
      <c r="G23" s="9">
        <v>1015</v>
      </c>
      <c r="H23" s="15" t="s">
        <v>17</v>
      </c>
      <c r="I23" s="17">
        <f t="shared" si="7"/>
        <v>5</v>
      </c>
      <c r="J23" s="18" t="s">
        <v>38</v>
      </c>
      <c r="K23" s="18" t="str">
        <f t="shared" si="17"/>
        <v>WO</v>
      </c>
      <c r="L23" s="18" t="s">
        <v>38</v>
      </c>
      <c r="M23" s="18" t="s">
        <v>38</v>
      </c>
      <c r="N23" s="18" t="s">
        <v>38</v>
      </c>
      <c r="O23" s="18" t="s">
        <v>38</v>
      </c>
      <c r="P23" s="18" t="s">
        <v>38</v>
      </c>
      <c r="Q23" s="18" t="s">
        <v>38</v>
      </c>
      <c r="R23" s="18" t="str">
        <f t="shared" si="17"/>
        <v>WO</v>
      </c>
      <c r="S23" s="18" t="s">
        <v>38</v>
      </c>
      <c r="T23" s="18" t="s">
        <v>38</v>
      </c>
      <c r="U23" s="18" t="s">
        <v>38</v>
      </c>
      <c r="V23" s="18" t="s">
        <v>38</v>
      </c>
      <c r="W23" s="18" t="s">
        <v>38</v>
      </c>
      <c r="X23" s="18" t="s">
        <v>38</v>
      </c>
      <c r="Y23" s="18" t="str">
        <f t="shared" si="17"/>
        <v>WO</v>
      </c>
      <c r="Z23" s="18" t="s">
        <v>40</v>
      </c>
      <c r="AA23" s="18" t="s">
        <v>38</v>
      </c>
      <c r="AB23" s="18" t="s">
        <v>38</v>
      </c>
      <c r="AC23" s="18" t="s">
        <v>38</v>
      </c>
      <c r="AD23" s="18" t="s">
        <v>38</v>
      </c>
      <c r="AE23" s="18" t="s">
        <v>38</v>
      </c>
      <c r="AF23" s="18" t="str">
        <f t="shared" si="16"/>
        <v>WO</v>
      </c>
      <c r="AG23" s="18" t="s">
        <v>38</v>
      </c>
      <c r="AH23" s="18" t="s">
        <v>38</v>
      </c>
      <c r="AI23" s="18" t="s">
        <v>38</v>
      </c>
      <c r="AJ23" s="18" t="s">
        <v>38</v>
      </c>
      <c r="AK23" s="18" t="s">
        <v>38</v>
      </c>
      <c r="AL23" s="18" t="s">
        <v>38</v>
      </c>
      <c r="AM23" s="18" t="str">
        <f t="shared" si="16"/>
        <v>WO</v>
      </c>
      <c r="AN23" s="19" t="str">
        <f t="shared" si="16"/>
        <v/>
      </c>
      <c r="AO23" s="32"/>
      <c r="AP23" s="34"/>
      <c r="AQ23" s="9">
        <v>15</v>
      </c>
      <c r="AR23" s="9">
        <v>1015</v>
      </c>
      <c r="AS23" s="9" t="str">
        <f t="shared" si="8"/>
        <v>November</v>
      </c>
      <c r="AT23" s="15" t="s">
        <v>17</v>
      </c>
      <c r="AU23" s="28">
        <f t="shared" si="4"/>
        <v>24</v>
      </c>
      <c r="AV23">
        <f t="shared" si="5"/>
        <v>0</v>
      </c>
      <c r="AW23">
        <f t="shared" si="6"/>
        <v>1</v>
      </c>
      <c r="AX23">
        <f t="shared" si="9"/>
        <v>5</v>
      </c>
      <c r="AY23" s="29">
        <f t="shared" si="10"/>
        <v>30</v>
      </c>
      <c r="AZ23" s="29">
        <f t="shared" si="11"/>
        <v>30</v>
      </c>
      <c r="BA23" s="30">
        <f t="shared" ca="1" si="12"/>
        <v>27259</v>
      </c>
      <c r="BB23" s="30">
        <f t="shared" ca="1" si="13"/>
        <v>908.63333333333333</v>
      </c>
      <c r="BC23" s="30">
        <f t="shared" ca="1" si="14"/>
        <v>0</v>
      </c>
      <c r="BD23" s="30">
        <f t="shared" ca="1" si="15"/>
        <v>27259</v>
      </c>
      <c r="BF23" s="34"/>
      <c r="BG23" s="31"/>
      <c r="BH23" s="31"/>
      <c r="BI23" s="31"/>
      <c r="BJ23" s="31"/>
    </row>
    <row r="24" spans="1:62" x14ac:dyDescent="0.3">
      <c r="C24" s="31"/>
      <c r="D24" s="31"/>
      <c r="E24" s="32"/>
      <c r="F24" s="8">
        <v>16</v>
      </c>
      <c r="G24" s="9">
        <v>1016</v>
      </c>
      <c r="H24" s="15" t="s">
        <v>18</v>
      </c>
      <c r="I24" s="17">
        <f t="shared" si="7"/>
        <v>5</v>
      </c>
      <c r="J24" s="18" t="s">
        <v>38</v>
      </c>
      <c r="K24" s="18" t="str">
        <f t="shared" si="17"/>
        <v>WO</v>
      </c>
      <c r="L24" s="18" t="s">
        <v>38</v>
      </c>
      <c r="M24" s="18" t="s">
        <v>38</v>
      </c>
      <c r="N24" s="18" t="s">
        <v>39</v>
      </c>
      <c r="O24" s="18" t="s">
        <v>38</v>
      </c>
      <c r="P24" s="18" t="s">
        <v>38</v>
      </c>
      <c r="Q24" s="18" t="s">
        <v>38</v>
      </c>
      <c r="R24" s="18" t="str">
        <f t="shared" si="17"/>
        <v>WO</v>
      </c>
      <c r="S24" s="18" t="s">
        <v>38</v>
      </c>
      <c r="T24" s="18" t="s">
        <v>38</v>
      </c>
      <c r="U24" s="18" t="s">
        <v>39</v>
      </c>
      <c r="V24" s="18" t="s">
        <v>38</v>
      </c>
      <c r="W24" s="18" t="s">
        <v>38</v>
      </c>
      <c r="X24" s="18" t="s">
        <v>38</v>
      </c>
      <c r="Y24" s="18" t="str">
        <f t="shared" si="17"/>
        <v>WO</v>
      </c>
      <c r="Z24" s="18" t="s">
        <v>38</v>
      </c>
      <c r="AA24" s="18" t="s">
        <v>38</v>
      </c>
      <c r="AB24" s="18" t="s">
        <v>39</v>
      </c>
      <c r="AC24" s="18" t="s">
        <v>38</v>
      </c>
      <c r="AD24" s="18" t="s">
        <v>38</v>
      </c>
      <c r="AE24" s="18" t="s">
        <v>38</v>
      </c>
      <c r="AF24" s="18" t="str">
        <f t="shared" si="16"/>
        <v>WO</v>
      </c>
      <c r="AG24" s="18" t="s">
        <v>38</v>
      </c>
      <c r="AH24" s="18" t="s">
        <v>38</v>
      </c>
      <c r="AI24" s="18" t="s">
        <v>39</v>
      </c>
      <c r="AJ24" s="18" t="s">
        <v>38</v>
      </c>
      <c r="AK24" s="18" t="s">
        <v>38</v>
      </c>
      <c r="AL24" s="18" t="s">
        <v>38</v>
      </c>
      <c r="AM24" s="18" t="str">
        <f t="shared" si="16"/>
        <v>WO</v>
      </c>
      <c r="AN24" s="19" t="str">
        <f t="shared" si="16"/>
        <v/>
      </c>
      <c r="AO24" s="32"/>
      <c r="AP24" s="34"/>
      <c r="AQ24" s="9">
        <v>16</v>
      </c>
      <c r="AR24" s="9">
        <v>1016</v>
      </c>
      <c r="AS24" s="9" t="str">
        <f t="shared" si="8"/>
        <v>November</v>
      </c>
      <c r="AT24" s="15" t="s">
        <v>18</v>
      </c>
      <c r="AU24" s="28">
        <f t="shared" si="4"/>
        <v>21</v>
      </c>
      <c r="AV24">
        <f t="shared" si="5"/>
        <v>4</v>
      </c>
      <c r="AW24">
        <f t="shared" si="6"/>
        <v>0</v>
      </c>
      <c r="AX24">
        <f t="shared" si="9"/>
        <v>5</v>
      </c>
      <c r="AY24" s="29">
        <f t="shared" si="10"/>
        <v>30</v>
      </c>
      <c r="AZ24" s="29">
        <f t="shared" si="11"/>
        <v>26</v>
      </c>
      <c r="BA24" s="30">
        <f t="shared" ca="1" si="12"/>
        <v>46422</v>
      </c>
      <c r="BB24" s="30">
        <f t="shared" ca="1" si="13"/>
        <v>1785.4615384615386</v>
      </c>
      <c r="BC24" s="30">
        <f t="shared" ca="1" si="14"/>
        <v>7141.8461538461543</v>
      </c>
      <c r="BD24" s="30">
        <f t="shared" ca="1" si="15"/>
        <v>39280.153846153844</v>
      </c>
      <c r="BF24" s="34"/>
      <c r="BG24" s="31"/>
      <c r="BH24" s="31"/>
      <c r="BI24" s="31"/>
      <c r="BJ24" s="31"/>
    </row>
    <row r="25" spans="1:62" x14ac:dyDescent="0.3">
      <c r="C25" s="31"/>
      <c r="D25" s="31"/>
      <c r="E25" s="32"/>
      <c r="F25" s="8">
        <v>17</v>
      </c>
      <c r="G25" s="9">
        <v>1017</v>
      </c>
      <c r="H25" s="15" t="s">
        <v>19</v>
      </c>
      <c r="I25" s="17">
        <f t="shared" si="7"/>
        <v>5</v>
      </c>
      <c r="J25" s="18" t="s">
        <v>38</v>
      </c>
      <c r="K25" s="18" t="str">
        <f t="shared" si="17"/>
        <v>WO</v>
      </c>
      <c r="L25" s="18" t="s">
        <v>39</v>
      </c>
      <c r="M25" s="18" t="s">
        <v>38</v>
      </c>
      <c r="N25" s="18" t="s">
        <v>38</v>
      </c>
      <c r="O25" s="18" t="s">
        <v>38</v>
      </c>
      <c r="P25" s="18" t="s">
        <v>38</v>
      </c>
      <c r="Q25" s="18" t="s">
        <v>38</v>
      </c>
      <c r="R25" s="18" t="str">
        <f t="shared" si="17"/>
        <v>WO</v>
      </c>
      <c r="S25" s="18" t="s">
        <v>39</v>
      </c>
      <c r="T25" s="18" t="s">
        <v>38</v>
      </c>
      <c r="U25" s="18" t="s">
        <v>38</v>
      </c>
      <c r="V25" s="18" t="s">
        <v>38</v>
      </c>
      <c r="W25" s="18" t="s">
        <v>40</v>
      </c>
      <c r="X25" s="18" t="s">
        <v>40</v>
      </c>
      <c r="Y25" s="18" t="str">
        <f t="shared" si="17"/>
        <v>WO</v>
      </c>
      <c r="Z25" s="18" t="s">
        <v>39</v>
      </c>
      <c r="AA25" s="18" t="s">
        <v>38</v>
      </c>
      <c r="AB25" s="18" t="s">
        <v>38</v>
      </c>
      <c r="AC25" s="18" t="s">
        <v>38</v>
      </c>
      <c r="AD25" s="18" t="s">
        <v>38</v>
      </c>
      <c r="AE25" s="18" t="s">
        <v>38</v>
      </c>
      <c r="AF25" s="18" t="str">
        <f t="shared" si="16"/>
        <v>WO</v>
      </c>
      <c r="AG25" s="18" t="s">
        <v>39</v>
      </c>
      <c r="AH25" s="18" t="s">
        <v>38</v>
      </c>
      <c r="AI25" s="18" t="s">
        <v>38</v>
      </c>
      <c r="AJ25" s="18" t="s">
        <v>38</v>
      </c>
      <c r="AK25" s="18" t="s">
        <v>38</v>
      </c>
      <c r="AL25" s="18" t="s">
        <v>38</v>
      </c>
      <c r="AM25" s="18" t="str">
        <f t="shared" si="16"/>
        <v>WO</v>
      </c>
      <c r="AN25" s="19" t="str">
        <f t="shared" si="16"/>
        <v/>
      </c>
      <c r="AO25" s="32"/>
      <c r="AP25" s="34"/>
      <c r="AQ25" s="9">
        <v>17</v>
      </c>
      <c r="AR25" s="9">
        <v>1017</v>
      </c>
      <c r="AS25" s="9" t="str">
        <f t="shared" si="8"/>
        <v>November</v>
      </c>
      <c r="AT25" s="15" t="s">
        <v>19</v>
      </c>
      <c r="AU25" s="28">
        <f t="shared" si="4"/>
        <v>19</v>
      </c>
      <c r="AV25">
        <f t="shared" si="5"/>
        <v>4</v>
      </c>
      <c r="AW25">
        <f t="shared" si="6"/>
        <v>2</v>
      </c>
      <c r="AX25">
        <f t="shared" si="9"/>
        <v>5</v>
      </c>
      <c r="AY25" s="29">
        <f t="shared" si="10"/>
        <v>30</v>
      </c>
      <c r="AZ25" s="29">
        <f t="shared" si="11"/>
        <v>26</v>
      </c>
      <c r="BA25" s="30">
        <f t="shared" ca="1" si="12"/>
        <v>21509</v>
      </c>
      <c r="BB25" s="30">
        <f t="shared" ca="1" si="13"/>
        <v>827.26923076923072</v>
      </c>
      <c r="BC25" s="30">
        <f t="shared" ca="1" si="14"/>
        <v>3309.0769230769229</v>
      </c>
      <c r="BD25" s="30">
        <f t="shared" ca="1" si="15"/>
        <v>18199.923076923078</v>
      </c>
      <c r="BF25" s="34"/>
      <c r="BG25" s="31"/>
      <c r="BH25" s="31"/>
      <c r="BI25" s="31"/>
      <c r="BJ25" s="31"/>
    </row>
    <row r="26" spans="1:62" x14ac:dyDescent="0.3">
      <c r="C26" s="31"/>
      <c r="D26" s="31"/>
      <c r="E26" s="32"/>
      <c r="F26" s="8">
        <v>18</v>
      </c>
      <c r="G26" s="9">
        <v>1018</v>
      </c>
      <c r="H26" s="15" t="s">
        <v>22</v>
      </c>
      <c r="I26" s="17">
        <f t="shared" si="7"/>
        <v>5</v>
      </c>
      <c r="J26" s="18" t="s">
        <v>38</v>
      </c>
      <c r="K26" s="18" t="str">
        <f t="shared" si="17"/>
        <v>WO</v>
      </c>
      <c r="L26" s="18" t="s">
        <v>38</v>
      </c>
      <c r="M26" s="18" t="s">
        <v>38</v>
      </c>
      <c r="N26" s="18" t="s">
        <v>38</v>
      </c>
      <c r="O26" s="18" t="s">
        <v>38</v>
      </c>
      <c r="P26" s="18" t="s">
        <v>40</v>
      </c>
      <c r="Q26" s="18" t="s">
        <v>38</v>
      </c>
      <c r="R26" s="18" t="str">
        <f t="shared" si="17"/>
        <v>WO</v>
      </c>
      <c r="S26" s="18" t="s">
        <v>38</v>
      </c>
      <c r="T26" s="18" t="s">
        <v>38</v>
      </c>
      <c r="U26" s="18" t="s">
        <v>38</v>
      </c>
      <c r="V26" s="18" t="s">
        <v>38</v>
      </c>
      <c r="W26" s="18" t="s">
        <v>38</v>
      </c>
      <c r="X26" s="18" t="s">
        <v>38</v>
      </c>
      <c r="Y26" s="18" t="str">
        <f t="shared" si="17"/>
        <v>WO</v>
      </c>
      <c r="Z26" s="18" t="s">
        <v>38</v>
      </c>
      <c r="AA26" s="18" t="s">
        <v>38</v>
      </c>
      <c r="AB26" s="18" t="s">
        <v>40</v>
      </c>
      <c r="AC26" s="18" t="s">
        <v>38</v>
      </c>
      <c r="AD26" s="18" t="s">
        <v>38</v>
      </c>
      <c r="AE26" s="18" t="s">
        <v>38</v>
      </c>
      <c r="AF26" s="18" t="str">
        <f t="shared" si="16"/>
        <v>WO</v>
      </c>
      <c r="AG26" s="18" t="s">
        <v>38</v>
      </c>
      <c r="AH26" s="18" t="s">
        <v>38</v>
      </c>
      <c r="AI26" s="18" t="s">
        <v>38</v>
      </c>
      <c r="AJ26" s="18" t="s">
        <v>38</v>
      </c>
      <c r="AK26" s="18" t="s">
        <v>38</v>
      </c>
      <c r="AL26" s="18" t="s">
        <v>38</v>
      </c>
      <c r="AM26" s="18" t="str">
        <f t="shared" si="16"/>
        <v>WO</v>
      </c>
      <c r="AN26" s="19" t="str">
        <f t="shared" si="16"/>
        <v/>
      </c>
      <c r="AO26" s="32"/>
      <c r="AP26" s="34"/>
      <c r="AQ26" s="9">
        <v>18</v>
      </c>
      <c r="AR26" s="9">
        <v>1018</v>
      </c>
      <c r="AS26" s="9" t="str">
        <f t="shared" si="8"/>
        <v>November</v>
      </c>
      <c r="AT26" s="15" t="s">
        <v>22</v>
      </c>
      <c r="AU26" s="28">
        <f t="shared" si="4"/>
        <v>23</v>
      </c>
      <c r="AV26">
        <f t="shared" si="5"/>
        <v>0</v>
      </c>
      <c r="AW26">
        <f t="shared" si="6"/>
        <v>2</v>
      </c>
      <c r="AX26">
        <f t="shared" si="9"/>
        <v>5</v>
      </c>
      <c r="AY26" s="29">
        <f t="shared" si="10"/>
        <v>30</v>
      </c>
      <c r="AZ26" s="29">
        <f t="shared" si="11"/>
        <v>30</v>
      </c>
      <c r="BA26" s="30">
        <f t="shared" ca="1" si="12"/>
        <v>17747</v>
      </c>
      <c r="BB26" s="30">
        <f t="shared" ca="1" si="13"/>
        <v>591.56666666666672</v>
      </c>
      <c r="BC26" s="30">
        <f t="shared" ca="1" si="14"/>
        <v>0</v>
      </c>
      <c r="BD26" s="30">
        <f t="shared" ca="1" si="15"/>
        <v>17747</v>
      </c>
      <c r="BF26" s="34"/>
      <c r="BG26" s="31"/>
      <c r="BH26" s="31"/>
      <c r="BI26" s="31"/>
      <c r="BJ26" s="31"/>
    </row>
    <row r="27" spans="1:62" x14ac:dyDescent="0.3">
      <c r="C27" s="31"/>
      <c r="D27" s="31"/>
      <c r="E27" s="32"/>
      <c r="F27" s="8">
        <v>19</v>
      </c>
      <c r="G27" s="9">
        <v>1019</v>
      </c>
      <c r="H27" s="15" t="s">
        <v>20</v>
      </c>
      <c r="I27" s="17">
        <f t="shared" si="7"/>
        <v>5</v>
      </c>
      <c r="J27" s="18" t="s">
        <v>38</v>
      </c>
      <c r="K27" s="18" t="str">
        <f t="shared" si="17"/>
        <v>WO</v>
      </c>
      <c r="L27" s="18" t="s">
        <v>38</v>
      </c>
      <c r="M27" s="18" t="s">
        <v>39</v>
      </c>
      <c r="N27" s="18" t="s">
        <v>38</v>
      </c>
      <c r="O27" s="18" t="s">
        <v>38</v>
      </c>
      <c r="P27" s="18" t="s">
        <v>38</v>
      </c>
      <c r="Q27" s="18" t="s">
        <v>38</v>
      </c>
      <c r="R27" s="18" t="str">
        <f t="shared" si="17"/>
        <v>WO</v>
      </c>
      <c r="S27" s="18" t="s">
        <v>38</v>
      </c>
      <c r="T27" s="18" t="s">
        <v>39</v>
      </c>
      <c r="U27" s="18" t="s">
        <v>38</v>
      </c>
      <c r="V27" s="18" t="s">
        <v>38</v>
      </c>
      <c r="W27" s="18" t="s">
        <v>38</v>
      </c>
      <c r="X27" s="18" t="s">
        <v>38</v>
      </c>
      <c r="Y27" s="18" t="str">
        <f t="shared" si="17"/>
        <v>WO</v>
      </c>
      <c r="Z27" s="18" t="s">
        <v>38</v>
      </c>
      <c r="AA27" s="18" t="s">
        <v>39</v>
      </c>
      <c r="AB27" s="18" t="s">
        <v>38</v>
      </c>
      <c r="AC27" s="18" t="s">
        <v>38</v>
      </c>
      <c r="AD27" s="18" t="s">
        <v>38</v>
      </c>
      <c r="AE27" s="18" t="s">
        <v>38</v>
      </c>
      <c r="AF27" s="18" t="str">
        <f t="shared" si="16"/>
        <v>WO</v>
      </c>
      <c r="AG27" s="18" t="s">
        <v>38</v>
      </c>
      <c r="AH27" s="18" t="s">
        <v>39</v>
      </c>
      <c r="AI27" s="18" t="s">
        <v>38</v>
      </c>
      <c r="AJ27" s="18" t="s">
        <v>38</v>
      </c>
      <c r="AK27" s="18" t="s">
        <v>38</v>
      </c>
      <c r="AL27" s="18" t="s">
        <v>38</v>
      </c>
      <c r="AM27" s="18" t="str">
        <f t="shared" si="16"/>
        <v>WO</v>
      </c>
      <c r="AN27" s="19" t="str">
        <f t="shared" si="16"/>
        <v/>
      </c>
      <c r="AO27" s="32"/>
      <c r="AP27" s="34"/>
      <c r="AQ27" s="9">
        <v>19</v>
      </c>
      <c r="AR27" s="9">
        <v>1019</v>
      </c>
      <c r="AS27" s="9" t="str">
        <f t="shared" si="8"/>
        <v>November</v>
      </c>
      <c r="AT27" s="15" t="s">
        <v>20</v>
      </c>
      <c r="AU27" s="28">
        <f t="shared" si="4"/>
        <v>21</v>
      </c>
      <c r="AV27">
        <f t="shared" si="5"/>
        <v>4</v>
      </c>
      <c r="AW27">
        <f t="shared" si="6"/>
        <v>0</v>
      </c>
      <c r="AX27">
        <f t="shared" si="9"/>
        <v>5</v>
      </c>
      <c r="AY27" s="29">
        <f t="shared" si="10"/>
        <v>30</v>
      </c>
      <c r="AZ27" s="29">
        <f t="shared" si="11"/>
        <v>26</v>
      </c>
      <c r="BA27" s="30">
        <f t="shared" ca="1" si="12"/>
        <v>32020</v>
      </c>
      <c r="BB27" s="30">
        <f t="shared" ca="1" si="13"/>
        <v>1231.5384615384614</v>
      </c>
      <c r="BC27" s="30">
        <f t="shared" ca="1" si="14"/>
        <v>4926.1538461538457</v>
      </c>
      <c r="BD27" s="30">
        <f t="shared" ca="1" si="15"/>
        <v>27093.846153846156</v>
      </c>
      <c r="BF27" s="34"/>
      <c r="BG27" s="31"/>
      <c r="BH27" s="31"/>
      <c r="BI27" s="31"/>
      <c r="BJ27" s="31"/>
    </row>
    <row r="28" spans="1:62" ht="15" thickBot="1" x14ac:dyDescent="0.35">
      <c r="C28" s="31"/>
      <c r="D28" s="31"/>
      <c r="E28" s="32"/>
      <c r="F28" s="10">
        <v>20</v>
      </c>
      <c r="G28" s="11">
        <v>1020</v>
      </c>
      <c r="H28" s="16" t="s">
        <v>21</v>
      </c>
      <c r="I28" s="20">
        <f t="shared" si="7"/>
        <v>5</v>
      </c>
      <c r="J28" s="21" t="s">
        <v>39</v>
      </c>
      <c r="K28" s="21" t="str">
        <f t="shared" si="17"/>
        <v>WO</v>
      </c>
      <c r="L28" s="21" t="s">
        <v>38</v>
      </c>
      <c r="M28" s="21" t="s">
        <v>38</v>
      </c>
      <c r="N28" s="21" t="s">
        <v>38</v>
      </c>
      <c r="O28" s="21" t="s">
        <v>40</v>
      </c>
      <c r="P28" s="21" t="s">
        <v>40</v>
      </c>
      <c r="Q28" s="21" t="s">
        <v>39</v>
      </c>
      <c r="R28" s="21" t="str">
        <f t="shared" si="17"/>
        <v>WO</v>
      </c>
      <c r="S28" s="21" t="s">
        <v>38</v>
      </c>
      <c r="T28" s="21" t="s">
        <v>38</v>
      </c>
      <c r="U28" s="21" t="s">
        <v>40</v>
      </c>
      <c r="V28" s="21" t="s">
        <v>40</v>
      </c>
      <c r="W28" s="21" t="s">
        <v>38</v>
      </c>
      <c r="X28" s="21" t="s">
        <v>39</v>
      </c>
      <c r="Y28" s="21" t="str">
        <f t="shared" si="17"/>
        <v>WO</v>
      </c>
      <c r="Z28" s="21" t="s">
        <v>38</v>
      </c>
      <c r="AA28" s="21" t="s">
        <v>38</v>
      </c>
      <c r="AB28" s="21" t="s">
        <v>38</v>
      </c>
      <c r="AC28" s="21" t="s">
        <v>40</v>
      </c>
      <c r="AD28" s="21" t="s">
        <v>39</v>
      </c>
      <c r="AE28" s="21" t="s">
        <v>39</v>
      </c>
      <c r="AF28" s="21" t="str">
        <f t="shared" si="16"/>
        <v>WO</v>
      </c>
      <c r="AG28" s="21" t="s">
        <v>38</v>
      </c>
      <c r="AH28" s="21" t="s">
        <v>38</v>
      </c>
      <c r="AI28" s="21" t="s">
        <v>38</v>
      </c>
      <c r="AJ28" s="21" t="s">
        <v>38</v>
      </c>
      <c r="AK28" s="21" t="s">
        <v>40</v>
      </c>
      <c r="AL28" s="21" t="s">
        <v>38</v>
      </c>
      <c r="AM28" s="21" t="str">
        <f t="shared" si="16"/>
        <v>WO</v>
      </c>
      <c r="AN28" s="22" t="str">
        <f t="shared" si="16"/>
        <v/>
      </c>
      <c r="AO28" s="32"/>
      <c r="AP28" s="34"/>
      <c r="AQ28" s="9">
        <v>20</v>
      </c>
      <c r="AR28" s="9">
        <v>1020</v>
      </c>
      <c r="AS28" s="9" t="str">
        <f t="shared" si="8"/>
        <v>November</v>
      </c>
      <c r="AT28" s="15" t="s">
        <v>21</v>
      </c>
      <c r="AU28" s="28">
        <f t="shared" si="4"/>
        <v>14</v>
      </c>
      <c r="AV28">
        <f t="shared" si="5"/>
        <v>5</v>
      </c>
      <c r="AW28">
        <f t="shared" si="6"/>
        <v>6</v>
      </c>
      <c r="AX28">
        <f t="shared" si="9"/>
        <v>5</v>
      </c>
      <c r="AY28" s="29">
        <f t="shared" si="10"/>
        <v>30</v>
      </c>
      <c r="AZ28" s="29">
        <f t="shared" si="11"/>
        <v>25</v>
      </c>
      <c r="BA28" s="30">
        <f t="shared" ca="1" si="12"/>
        <v>27656</v>
      </c>
      <c r="BB28" s="30">
        <f t="shared" ca="1" si="13"/>
        <v>1106.24</v>
      </c>
      <c r="BC28" s="30">
        <f t="shared" ca="1" si="14"/>
        <v>5531.2</v>
      </c>
      <c r="BD28" s="30">
        <f t="shared" ca="1" si="15"/>
        <v>22124.799999999999</v>
      </c>
      <c r="BF28" s="34"/>
      <c r="BG28" s="31"/>
      <c r="BH28" s="31"/>
      <c r="BI28" s="31"/>
      <c r="BJ28" s="31"/>
    </row>
    <row r="29" spans="1:62" x14ac:dyDescent="0.3">
      <c r="A29" s="31"/>
      <c r="B29" s="31"/>
      <c r="C29" s="31"/>
      <c r="D29" s="31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1"/>
      <c r="BH29" s="31"/>
      <c r="BI29" s="31"/>
      <c r="BJ29" s="31"/>
    </row>
    <row r="30" spans="1:62" x14ac:dyDescent="0.3">
      <c r="A30" s="31"/>
      <c r="B30" s="31"/>
      <c r="C30" s="31"/>
      <c r="D30" s="31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1"/>
      <c r="BH30" s="31"/>
      <c r="BI30" s="31"/>
      <c r="BJ30" s="31"/>
    </row>
    <row r="31" spans="1:62" x14ac:dyDescent="0.3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</row>
    <row r="32" spans="1:62" x14ac:dyDescent="0.3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</row>
    <row r="33" spans="1:62" x14ac:dyDescent="0.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</row>
    <row r="34" spans="1:62" x14ac:dyDescent="0.3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</row>
    <row r="35" spans="1:62" x14ac:dyDescent="0.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</row>
    <row r="36" spans="1:62" x14ac:dyDescent="0.3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</row>
    <row r="37" spans="1:62" x14ac:dyDescent="0.3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</row>
    <row r="38" spans="1:62" x14ac:dyDescent="0.3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</row>
    <row r="39" spans="1:62" x14ac:dyDescent="0.3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</row>
    <row r="40" spans="1:62" x14ac:dyDescent="0.3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</row>
    <row r="41" spans="1:62" x14ac:dyDescent="0.3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</row>
    <row r="42" spans="1:62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</row>
    <row r="43" spans="1:62" x14ac:dyDescent="0.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</row>
    <row r="44" spans="1:62" x14ac:dyDescent="0.3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</row>
    <row r="45" spans="1:62" x14ac:dyDescent="0.3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</row>
    <row r="46" spans="1:62" x14ac:dyDescent="0.3">
      <c r="AO46" s="31"/>
      <c r="AP46" s="31"/>
      <c r="BF46" s="31"/>
      <c r="BG46" s="31"/>
      <c r="BH46" s="31"/>
      <c r="BI46" s="31"/>
      <c r="BJ46" s="31"/>
    </row>
    <row r="47" spans="1:62" x14ac:dyDescent="0.3">
      <c r="AO47" s="31"/>
      <c r="AP47" s="31"/>
      <c r="BF47" s="31"/>
      <c r="BG47" s="31"/>
      <c r="BH47" s="31"/>
      <c r="BI47" s="31"/>
      <c r="BJ47" s="31"/>
    </row>
    <row r="48" spans="1:62" x14ac:dyDescent="0.3">
      <c r="AO48" s="31"/>
      <c r="AP48" s="31"/>
      <c r="BF48" s="31"/>
      <c r="BG48" s="31"/>
      <c r="BH48" s="31"/>
      <c r="BI48" s="31"/>
      <c r="BJ48" s="31"/>
    </row>
    <row r="49" spans="41:62" x14ac:dyDescent="0.3">
      <c r="AO49" s="31"/>
      <c r="AP49" s="31"/>
      <c r="BF49" s="31"/>
      <c r="BG49" s="31"/>
      <c r="BH49" s="31"/>
      <c r="BI49" s="31"/>
      <c r="BJ49" s="31"/>
    </row>
  </sheetData>
  <conditionalFormatting sqref="J9:J28">
    <cfRule type="containsText" dxfId="65" priority="33" operator="containsText" text="L">
      <formula>NOT(ISERROR(SEARCH("L",J9)))</formula>
    </cfRule>
    <cfRule type="containsText" dxfId="64" priority="36" operator="containsText" text="WO">
      <formula>NOT(ISERROR(SEARCH("WO",J9)))</formula>
    </cfRule>
    <cfRule type="containsText" dxfId="63" priority="35" operator="containsText" text="P">
      <formula>NOT(ISERROR(SEARCH("P",J9)))</formula>
    </cfRule>
    <cfRule type="containsText" dxfId="62" priority="34" operator="containsText" text="A">
      <formula>NOT(ISERROR(SEARCH("A",J9)))</formula>
    </cfRule>
  </conditionalFormatting>
  <conditionalFormatting sqref="K9:K28 R9:R28 Y9:Y28 AF9:AF28 AM9:AN28">
    <cfRule type="containsText" dxfId="61" priority="69" operator="containsText" text="P">
      <formula>NOT(ISERROR(SEARCH("P",K9)))</formula>
    </cfRule>
    <cfRule type="containsText" dxfId="60" priority="70" operator="containsText" text="L">
      <formula>NOT(ISERROR(SEARCH("L",K9)))</formula>
    </cfRule>
    <cfRule type="containsText" dxfId="59" priority="71" operator="containsText" text="A">
      <formula>NOT(ISERROR(SEARCH("A",K9)))</formula>
    </cfRule>
    <cfRule type="containsText" dxfId="58" priority="72" operator="containsText" text="P">
      <formula>NOT(ISERROR(SEARCH("P",K9)))</formula>
    </cfRule>
    <cfRule type="containsText" dxfId="57" priority="73" operator="containsText" text="WO">
      <formula>NOT(ISERROR(SEARCH("WO",K9)))</formula>
    </cfRule>
    <cfRule type="containsText" dxfId="56" priority="53" operator="containsText" text="L">
      <formula>NOT(ISERROR(SEARCH("L",K9)))</formula>
    </cfRule>
    <cfRule type="containsText" dxfId="55" priority="54" operator="containsText" text="A">
      <formula>NOT(ISERROR(SEARCH("A",K9)))</formula>
    </cfRule>
    <cfRule type="containsText" dxfId="54" priority="55" operator="containsText" text="P">
      <formula>NOT(ISERROR(SEARCH("P",K9)))</formula>
    </cfRule>
  </conditionalFormatting>
  <conditionalFormatting sqref="L9:Q28">
    <cfRule type="containsText" dxfId="53" priority="25" operator="containsText" text="L">
      <formula>NOT(ISERROR(SEARCH("L",L9)))</formula>
    </cfRule>
    <cfRule type="containsText" dxfId="52" priority="28" operator="containsText" text="WO">
      <formula>NOT(ISERROR(SEARCH("WO",L9)))</formula>
    </cfRule>
    <cfRule type="containsText" dxfId="51" priority="27" operator="containsText" text="P">
      <formula>NOT(ISERROR(SEARCH("P",L9)))</formula>
    </cfRule>
    <cfRule type="containsText" dxfId="50" priority="26" operator="containsText" text="A">
      <formula>NOT(ISERROR(SEARCH("A",L9)))</formula>
    </cfRule>
  </conditionalFormatting>
  <conditionalFormatting sqref="R9:R28 Y9:Y28 AF9:AF28 AM9:AN28 K9:K28">
    <cfRule type="containsText" dxfId="49" priority="65" operator="containsText" text="A">
      <formula>NOT(ISERROR(SEARCH("A",K9)))</formula>
    </cfRule>
  </conditionalFormatting>
  <conditionalFormatting sqref="R9:R28">
    <cfRule type="containsText" dxfId="48" priority="64" operator="containsText" text="P">
      <formula>NOT(ISERROR(SEARCH("P",R9)))</formula>
    </cfRule>
  </conditionalFormatting>
  <conditionalFormatting sqref="S9:X28">
    <cfRule type="containsText" dxfId="47" priority="17" operator="containsText" text="L">
      <formula>NOT(ISERROR(SEARCH("L",S9)))</formula>
    </cfRule>
    <cfRule type="containsText" dxfId="46" priority="18" operator="containsText" text="A">
      <formula>NOT(ISERROR(SEARCH("A",S9)))</formula>
    </cfRule>
    <cfRule type="containsText" dxfId="45" priority="19" operator="containsText" text="P">
      <formula>NOT(ISERROR(SEARCH("P",S9)))</formula>
    </cfRule>
    <cfRule type="containsText" dxfId="44" priority="20" operator="containsText" text="WO">
      <formula>NOT(ISERROR(SEARCH("WO",S9)))</formula>
    </cfRule>
  </conditionalFormatting>
  <conditionalFormatting sqref="Y9:Y28">
    <cfRule type="containsText" dxfId="43" priority="61" operator="containsText" text="P">
      <formula>NOT(ISERROR(SEARCH("P",Y9)))</formula>
    </cfRule>
  </conditionalFormatting>
  <conditionalFormatting sqref="Z9:AE28">
    <cfRule type="containsText" dxfId="42" priority="9" operator="containsText" text="L">
      <formula>NOT(ISERROR(SEARCH("L",Z9)))</formula>
    </cfRule>
    <cfRule type="containsText" dxfId="41" priority="10" operator="containsText" text="A">
      <formula>NOT(ISERROR(SEARCH("A",Z9)))</formula>
    </cfRule>
    <cfRule type="containsText" dxfId="40" priority="11" operator="containsText" text="P">
      <formula>NOT(ISERROR(SEARCH("P",Z9)))</formula>
    </cfRule>
    <cfRule type="containsText" dxfId="39" priority="12" operator="containsText" text="WO">
      <formula>NOT(ISERROR(SEARCH("WO",Z9)))</formula>
    </cfRule>
  </conditionalFormatting>
  <conditionalFormatting sqref="AF9:AF28">
    <cfRule type="containsText" dxfId="38" priority="59" operator="containsText" text="P">
      <formula>NOT(ISERROR(SEARCH("P",AF9)))</formula>
    </cfRule>
  </conditionalFormatting>
  <conditionalFormatting sqref="AG9:AL28">
    <cfRule type="containsText" dxfId="37" priority="2" operator="containsText" text="A">
      <formula>NOT(ISERROR(SEARCH("A",AG9)))</formula>
    </cfRule>
    <cfRule type="containsText" dxfId="36" priority="3" operator="containsText" text="P">
      <formula>NOT(ISERROR(SEARCH("P",AG9)))</formula>
    </cfRule>
    <cfRule type="containsText" dxfId="35" priority="4" operator="containsText" text="WO">
      <formula>NOT(ISERROR(SEARCH("WO",AG9)))</formula>
    </cfRule>
    <cfRule type="containsText" dxfId="34" priority="1" operator="containsText" text="L">
      <formula>NOT(ISERROR(SEARCH("L",AG9)))</formula>
    </cfRule>
  </conditionalFormatting>
  <conditionalFormatting sqref="AM9:AM28">
    <cfRule type="containsText" dxfId="33" priority="57" operator="containsText" text="P">
      <formula>NOT(ISERROR(SEARCH("P",AM9)))</formula>
    </cfRule>
  </conditionalFormatting>
  <dataValidations count="1">
    <dataValidation type="list" allowBlank="1" showInputMessage="1" showErrorMessage="1" sqref="F7:I28 J7:AN8 L9:Q28 S9:X28 Z9:AE28 J9:J28 AG9:AL28" xr:uid="{D9E5E8CA-399D-4F2D-B053-BF8F8EDC9AD3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6EF273F-E5FC-48FD-8B29-05833155991C}">
          <x14:formula1>
            <xm:f>Rough!$A$1:$A$12</xm:f>
          </x14:formula1>
          <xm:sqref>G5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C63BBD9B-50E2-42CA-A7FD-7121F18F09E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November!AU9:AX9</xm:f>
              <xm:sqref>BE9</xm:sqref>
            </x14:sparkline>
            <x14:sparkline>
              <xm:f>November!AU10:AX10</xm:f>
              <xm:sqref>BE10</xm:sqref>
            </x14:sparkline>
            <x14:sparkline>
              <xm:f>November!AU11:AX11</xm:f>
              <xm:sqref>BE11</xm:sqref>
            </x14:sparkline>
            <x14:sparkline>
              <xm:f>November!AU12:AX12</xm:f>
              <xm:sqref>BE12</xm:sqref>
            </x14:sparkline>
            <x14:sparkline>
              <xm:f>November!AU13:AX13</xm:f>
              <xm:sqref>BE13</xm:sqref>
            </x14:sparkline>
            <x14:sparkline>
              <xm:f>November!AU14:AX14</xm:f>
              <xm:sqref>BE14</xm:sqref>
            </x14:sparkline>
            <x14:sparkline>
              <xm:f>November!AU15:AX15</xm:f>
              <xm:sqref>BE15</xm:sqref>
            </x14:sparkline>
            <x14:sparkline>
              <xm:f>November!AU16:AX16</xm:f>
              <xm:sqref>BE16</xm:sqref>
            </x14:sparkline>
            <x14:sparkline>
              <xm:f>November!AU17:AX17</xm:f>
              <xm:sqref>BE17</xm:sqref>
            </x14:sparkline>
            <x14:sparkline>
              <xm:f>November!AU18:AX18</xm:f>
              <xm:sqref>BE18</xm:sqref>
            </x14:sparkline>
            <x14:sparkline>
              <xm:f>November!AU19:AX19</xm:f>
              <xm:sqref>BE19</xm:sqref>
            </x14:sparkline>
            <x14:sparkline>
              <xm:f>November!AU20:AX20</xm:f>
              <xm:sqref>BE20</xm:sqref>
            </x14:sparkline>
            <x14:sparkline>
              <xm:f>November!AU21:AX21</xm:f>
              <xm:sqref>BE21</xm:sqref>
            </x14:sparkline>
            <x14:sparkline>
              <xm:f>November!AU22:AX22</xm:f>
              <xm:sqref>BE22</xm:sqref>
            </x14:sparkline>
            <x14:sparkline>
              <xm:f>November!AU23:AX23</xm:f>
              <xm:sqref>BE23</xm:sqref>
            </x14:sparkline>
            <x14:sparkline>
              <xm:f>November!AU24:AX24</xm:f>
              <xm:sqref>BE24</xm:sqref>
            </x14:sparkline>
            <x14:sparkline>
              <xm:f>November!AU25:AX25</xm:f>
              <xm:sqref>BE25</xm:sqref>
            </x14:sparkline>
            <x14:sparkline>
              <xm:f>November!AU26:AX26</xm:f>
              <xm:sqref>BE26</xm:sqref>
            </x14:sparkline>
            <x14:sparkline>
              <xm:f>November!AU27:AX27</xm:f>
              <xm:sqref>BE27</xm:sqref>
            </x14:sparkline>
            <x14:sparkline>
              <xm:f>November!AU28:AX28</xm:f>
              <xm:sqref>BE28</xm:sqref>
            </x14:sparkline>
          </x14:sparklines>
        </x14:sparklineGroup>
      </x14:sparklineGroup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9A625-40E1-47B1-860A-F4DD960E3F4A}">
  <dimension ref="A1:BJ49"/>
  <sheetViews>
    <sheetView topLeftCell="AK4" workbookViewId="0">
      <selection activeCell="AX18" sqref="AX18"/>
    </sheetView>
  </sheetViews>
  <sheetFormatPr defaultRowHeight="14.4" x14ac:dyDescent="0.3"/>
  <cols>
    <col min="6" max="6" width="6.33203125" bestFit="1" customWidth="1"/>
    <col min="7" max="7" width="14.33203125" bestFit="1" customWidth="1"/>
    <col min="8" max="8" width="18.77734375" bestFit="1" customWidth="1"/>
    <col min="9" max="9" width="10.5546875" bestFit="1" customWidth="1"/>
    <col min="10" max="10" width="5.5546875" customWidth="1"/>
    <col min="11" max="11" width="4" bestFit="1" customWidth="1"/>
    <col min="12" max="12" width="3.88671875" customWidth="1"/>
    <col min="13" max="13" width="3.5546875" bestFit="1" customWidth="1"/>
    <col min="14" max="14" width="3.88671875" bestFit="1" customWidth="1"/>
    <col min="15" max="15" width="4.77734375" bestFit="1" customWidth="1"/>
    <col min="16" max="16" width="4" bestFit="1" customWidth="1"/>
    <col min="17" max="17" width="4.77734375" bestFit="1" customWidth="1"/>
    <col min="18" max="18" width="4" bestFit="1" customWidth="1"/>
    <col min="19" max="19" width="3.44140625" customWidth="1"/>
    <col min="20" max="20" width="3.5546875" bestFit="1" customWidth="1"/>
    <col min="21" max="21" width="3.88671875" bestFit="1" customWidth="1"/>
    <col min="22" max="22" width="4.77734375" bestFit="1" customWidth="1"/>
    <col min="23" max="23" width="4" bestFit="1" customWidth="1"/>
    <col min="24" max="24" width="4.77734375" bestFit="1" customWidth="1"/>
    <col min="25" max="25" width="4" bestFit="1" customWidth="1"/>
    <col min="26" max="26" width="3.44140625" customWidth="1"/>
    <col min="27" max="27" width="3.5546875" bestFit="1" customWidth="1"/>
    <col min="28" max="28" width="3.88671875" bestFit="1" customWidth="1"/>
    <col min="29" max="29" width="4.77734375" bestFit="1" customWidth="1"/>
    <col min="30" max="30" width="4" bestFit="1" customWidth="1"/>
    <col min="31" max="31" width="4.77734375" bestFit="1" customWidth="1"/>
    <col min="32" max="32" width="4" bestFit="1" customWidth="1"/>
    <col min="33" max="33" width="4" customWidth="1"/>
    <col min="34" max="34" width="3.5546875" bestFit="1" customWidth="1"/>
    <col min="35" max="35" width="3.88671875" bestFit="1" customWidth="1"/>
    <col min="36" max="36" width="4.77734375" bestFit="1" customWidth="1"/>
    <col min="37" max="37" width="4" bestFit="1" customWidth="1"/>
    <col min="38" max="38" width="4.77734375" bestFit="1" customWidth="1"/>
    <col min="39" max="39" width="4" bestFit="1" customWidth="1"/>
    <col min="40" max="40" width="3.44140625" customWidth="1"/>
    <col min="44" max="44" width="16" customWidth="1"/>
    <col min="45" max="45" width="13.6640625" customWidth="1"/>
    <col min="46" max="46" width="20.33203125" customWidth="1"/>
    <col min="47" max="47" width="11" customWidth="1"/>
    <col min="48" max="48" width="10.33203125" customWidth="1"/>
    <col min="49" max="49" width="9.109375" customWidth="1"/>
    <col min="50" max="50" width="13" customWidth="1"/>
    <col min="51" max="51" width="8" customWidth="1"/>
    <col min="52" max="52" width="13.6640625" customWidth="1"/>
    <col min="53" max="53" width="11.5546875" bestFit="1" customWidth="1"/>
    <col min="54" max="54" width="17.77734375" customWidth="1"/>
    <col min="55" max="55" width="13.88671875" customWidth="1"/>
    <col min="56" max="56" width="15.21875" customWidth="1"/>
    <col min="57" max="57" width="12.77734375" customWidth="1"/>
  </cols>
  <sheetData>
    <row r="1" spans="1:62" x14ac:dyDescent="0.3">
      <c r="AP1" s="31"/>
      <c r="BF1" s="31"/>
      <c r="BG1" s="31"/>
      <c r="BH1" s="31"/>
      <c r="BI1" s="31"/>
      <c r="BJ1" s="31"/>
    </row>
    <row r="2" spans="1:62" x14ac:dyDescent="0.3">
      <c r="AP2" s="31"/>
      <c r="BF2" s="31"/>
      <c r="BG2" s="31"/>
      <c r="BH2" s="31"/>
      <c r="BI2" s="31"/>
      <c r="BJ2" s="31"/>
    </row>
    <row r="3" spans="1:62" x14ac:dyDescent="0.3">
      <c r="AP3" s="31"/>
      <c r="BF3" s="31"/>
      <c r="BG3" s="31"/>
      <c r="BH3" s="31"/>
      <c r="BI3" s="31"/>
      <c r="BJ3" s="31"/>
    </row>
    <row r="4" spans="1:62" x14ac:dyDescent="0.3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</row>
    <row r="5" spans="1:62" x14ac:dyDescent="0.3">
      <c r="A5" s="31"/>
      <c r="B5" s="31"/>
      <c r="C5" s="31"/>
      <c r="D5" s="31"/>
      <c r="E5" s="35" t="str">
        <f>TEXT(G5,"mmmm")</f>
        <v>December</v>
      </c>
      <c r="F5" s="35" t="s">
        <v>26</v>
      </c>
      <c r="G5" s="36">
        <v>45992</v>
      </c>
      <c r="H5" s="37">
        <f>(DATEDIF($G$5,$J$5,"D"))+1</f>
        <v>31</v>
      </c>
      <c r="I5" s="35" t="s">
        <v>27</v>
      </c>
      <c r="J5" s="36">
        <f>EOMONTH(G5,0)</f>
        <v>46022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</row>
    <row r="6" spans="1:62" ht="15" thickBot="1" x14ac:dyDescent="0.35">
      <c r="A6" s="31"/>
      <c r="B6" s="31"/>
      <c r="C6" s="31"/>
      <c r="D6" s="31"/>
      <c r="E6" s="32"/>
      <c r="F6" s="32"/>
      <c r="G6" s="32"/>
      <c r="H6" s="32"/>
      <c r="I6" s="32"/>
      <c r="J6" s="33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1"/>
      <c r="BH6" s="31"/>
      <c r="BI6" s="31"/>
      <c r="BJ6" s="31"/>
    </row>
    <row r="7" spans="1:62" ht="15" thickBot="1" x14ac:dyDescent="0.35">
      <c r="C7" s="31"/>
      <c r="D7" s="31"/>
      <c r="E7" s="32"/>
      <c r="F7" s="5"/>
      <c r="G7" s="6" t="s">
        <v>29</v>
      </c>
      <c r="H7" s="7"/>
      <c r="I7" s="5" t="s">
        <v>28</v>
      </c>
      <c r="J7" s="23" t="str">
        <f>TEXT(J8,"DDD")</f>
        <v>Mon</v>
      </c>
      <c r="K7" s="23" t="str">
        <f>TEXT(K8,"DDD")</f>
        <v>Tue</v>
      </c>
      <c r="L7" s="23" t="str">
        <f t="shared" ref="L7:AI7" si="0">TEXT(L8,"DDD")</f>
        <v>Wed</v>
      </c>
      <c r="M7" s="23" t="str">
        <f t="shared" si="0"/>
        <v>Thu</v>
      </c>
      <c r="N7" s="23" t="str">
        <f t="shared" si="0"/>
        <v>Fri</v>
      </c>
      <c r="O7" s="23" t="str">
        <f t="shared" si="0"/>
        <v>Sat</v>
      </c>
      <c r="P7" s="23" t="str">
        <f t="shared" si="0"/>
        <v>Sun</v>
      </c>
      <c r="Q7" s="23" t="str">
        <f t="shared" si="0"/>
        <v>Mon</v>
      </c>
      <c r="R7" s="23" t="str">
        <f t="shared" si="0"/>
        <v>Tue</v>
      </c>
      <c r="S7" s="23" t="str">
        <f t="shared" si="0"/>
        <v>Wed</v>
      </c>
      <c r="T7" s="23" t="str">
        <f t="shared" si="0"/>
        <v>Thu</v>
      </c>
      <c r="U7" s="23" t="str">
        <f t="shared" si="0"/>
        <v>Fri</v>
      </c>
      <c r="V7" s="23" t="str">
        <f t="shared" si="0"/>
        <v>Sat</v>
      </c>
      <c r="W7" s="23" t="str">
        <f t="shared" si="0"/>
        <v>Sun</v>
      </c>
      <c r="X7" s="23" t="str">
        <f t="shared" si="0"/>
        <v>Mon</v>
      </c>
      <c r="Y7" s="23" t="str">
        <f t="shared" si="0"/>
        <v>Tue</v>
      </c>
      <c r="Z7" s="23" t="str">
        <f t="shared" si="0"/>
        <v>Wed</v>
      </c>
      <c r="AA7" s="23" t="str">
        <f t="shared" si="0"/>
        <v>Thu</v>
      </c>
      <c r="AB7" s="23" t="str">
        <f t="shared" si="0"/>
        <v>Fri</v>
      </c>
      <c r="AC7" s="23" t="str">
        <f t="shared" si="0"/>
        <v>Sat</v>
      </c>
      <c r="AD7" s="23" t="str">
        <f t="shared" si="0"/>
        <v>Sun</v>
      </c>
      <c r="AE7" s="23" t="str">
        <f t="shared" si="0"/>
        <v>Mon</v>
      </c>
      <c r="AF7" s="23" t="str">
        <f t="shared" si="0"/>
        <v>Tue</v>
      </c>
      <c r="AG7" s="23" t="str">
        <f t="shared" si="0"/>
        <v>Wed</v>
      </c>
      <c r="AH7" s="23" t="str">
        <f t="shared" si="0"/>
        <v>Thu</v>
      </c>
      <c r="AI7" s="23" t="str">
        <f t="shared" si="0"/>
        <v>Fri</v>
      </c>
      <c r="AJ7" s="23" t="str">
        <f>TEXT(AJ8,"DDD")</f>
        <v>Sat</v>
      </c>
      <c r="AK7" s="23" t="str">
        <f>TEXT(AK8,"DDD")</f>
        <v>Sun</v>
      </c>
      <c r="AL7" s="23" t="str">
        <f t="shared" ref="AL7:AN7" si="1">TEXT(AL8,"DDD")</f>
        <v>Mon</v>
      </c>
      <c r="AM7" s="23" t="str">
        <f t="shared" si="1"/>
        <v>Tue</v>
      </c>
      <c r="AN7" s="24" t="str">
        <f t="shared" si="1"/>
        <v>Wed</v>
      </c>
      <c r="AO7" s="32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1"/>
      <c r="BH7" s="31"/>
      <c r="BI7" s="31"/>
      <c r="BJ7" s="31"/>
    </row>
    <row r="8" spans="1:62" ht="18.600000000000001" thickBot="1" x14ac:dyDescent="0.4">
      <c r="C8" s="31"/>
      <c r="D8" s="31"/>
      <c r="E8" s="32"/>
      <c r="F8" s="12" t="s">
        <v>23</v>
      </c>
      <c r="G8" s="13" t="s">
        <v>2</v>
      </c>
      <c r="H8" s="14" t="s">
        <v>24</v>
      </c>
      <c r="I8" s="25" t="s">
        <v>25</v>
      </c>
      <c r="J8" s="26">
        <f>G5</f>
        <v>45992</v>
      </c>
      <c r="K8" s="26">
        <f>IF(J8&lt;$J$5,J8+1,"")</f>
        <v>45993</v>
      </c>
      <c r="L8" s="26">
        <f t="shared" ref="L8:AN8" si="2">IF(K8&lt;$J$5,K8+1,"")</f>
        <v>45994</v>
      </c>
      <c r="M8" s="26">
        <f t="shared" si="2"/>
        <v>45995</v>
      </c>
      <c r="N8" s="26">
        <f t="shared" si="2"/>
        <v>45996</v>
      </c>
      <c r="O8" s="26">
        <f t="shared" si="2"/>
        <v>45997</v>
      </c>
      <c r="P8" s="26">
        <f t="shared" si="2"/>
        <v>45998</v>
      </c>
      <c r="Q8" s="26">
        <f t="shared" si="2"/>
        <v>45999</v>
      </c>
      <c r="R8" s="26">
        <f t="shared" si="2"/>
        <v>46000</v>
      </c>
      <c r="S8" s="26">
        <f t="shared" si="2"/>
        <v>46001</v>
      </c>
      <c r="T8" s="26">
        <f t="shared" si="2"/>
        <v>46002</v>
      </c>
      <c r="U8" s="26">
        <f t="shared" si="2"/>
        <v>46003</v>
      </c>
      <c r="V8" s="26">
        <f t="shared" si="2"/>
        <v>46004</v>
      </c>
      <c r="W8" s="26">
        <f t="shared" si="2"/>
        <v>46005</v>
      </c>
      <c r="X8" s="26">
        <f t="shared" si="2"/>
        <v>46006</v>
      </c>
      <c r="Y8" s="26">
        <f t="shared" si="2"/>
        <v>46007</v>
      </c>
      <c r="Z8" s="26">
        <f t="shared" si="2"/>
        <v>46008</v>
      </c>
      <c r="AA8" s="26">
        <f t="shared" si="2"/>
        <v>46009</v>
      </c>
      <c r="AB8" s="26">
        <f t="shared" si="2"/>
        <v>46010</v>
      </c>
      <c r="AC8" s="26">
        <f t="shared" si="2"/>
        <v>46011</v>
      </c>
      <c r="AD8" s="26">
        <f t="shared" si="2"/>
        <v>46012</v>
      </c>
      <c r="AE8" s="26">
        <f t="shared" si="2"/>
        <v>46013</v>
      </c>
      <c r="AF8" s="26">
        <f t="shared" si="2"/>
        <v>46014</v>
      </c>
      <c r="AG8" s="26">
        <f t="shared" si="2"/>
        <v>46015</v>
      </c>
      <c r="AH8" s="26">
        <f t="shared" si="2"/>
        <v>46016</v>
      </c>
      <c r="AI8" s="26">
        <f t="shared" si="2"/>
        <v>46017</v>
      </c>
      <c r="AJ8" s="26">
        <f t="shared" si="2"/>
        <v>46018</v>
      </c>
      <c r="AK8" s="26">
        <f t="shared" si="2"/>
        <v>46019</v>
      </c>
      <c r="AL8" s="26">
        <f t="shared" si="2"/>
        <v>46020</v>
      </c>
      <c r="AM8" s="26">
        <f t="shared" si="2"/>
        <v>46021</v>
      </c>
      <c r="AN8" s="27">
        <f t="shared" si="2"/>
        <v>46022</v>
      </c>
      <c r="AO8" s="32"/>
      <c r="AP8" s="34"/>
      <c r="AQ8" s="38" t="s">
        <v>23</v>
      </c>
      <c r="AR8" s="38" t="s">
        <v>2</v>
      </c>
      <c r="AS8" s="38" t="s">
        <v>42</v>
      </c>
      <c r="AT8" s="39" t="s">
        <v>24</v>
      </c>
      <c r="AU8" s="40" t="s">
        <v>30</v>
      </c>
      <c r="AV8" s="38" t="s">
        <v>31</v>
      </c>
      <c r="AW8" s="38" t="s">
        <v>32</v>
      </c>
      <c r="AX8" s="38" t="s">
        <v>25</v>
      </c>
      <c r="AY8" s="38" t="s">
        <v>28</v>
      </c>
      <c r="AZ8" s="38" t="s">
        <v>33</v>
      </c>
      <c r="BA8" s="38" t="s">
        <v>34</v>
      </c>
      <c r="BB8" s="38" t="s">
        <v>35</v>
      </c>
      <c r="BC8" s="40" t="s">
        <v>36</v>
      </c>
      <c r="BD8" s="38" t="s">
        <v>37</v>
      </c>
      <c r="BE8" s="38" t="s">
        <v>41</v>
      </c>
      <c r="BF8" s="34"/>
      <c r="BG8" s="31"/>
      <c r="BH8" s="31"/>
      <c r="BI8" s="31"/>
      <c r="BJ8" s="31"/>
    </row>
    <row r="9" spans="1:62" x14ac:dyDescent="0.3">
      <c r="C9" s="31"/>
      <c r="D9" s="31"/>
      <c r="E9" s="32"/>
      <c r="F9" s="8">
        <v>1</v>
      </c>
      <c r="G9" s="9">
        <v>1001</v>
      </c>
      <c r="H9" s="15" t="s">
        <v>3</v>
      </c>
      <c r="I9" s="17">
        <f>COUNTIF($J$7:$AN$7,"Sun")</f>
        <v>4</v>
      </c>
      <c r="J9" s="18" t="s">
        <v>38</v>
      </c>
      <c r="K9" s="18" t="s">
        <v>38</v>
      </c>
      <c r="L9" s="18" t="s">
        <v>38</v>
      </c>
      <c r="M9" s="18" t="s">
        <v>38</v>
      </c>
      <c r="N9" s="18" t="s">
        <v>38</v>
      </c>
      <c r="O9" s="18" t="s">
        <v>38</v>
      </c>
      <c r="P9" s="18" t="str">
        <f t="shared" ref="P9:AK17" si="3">IF(P$7="Sun","WO","")</f>
        <v>WO</v>
      </c>
      <c r="Q9" s="18" t="s">
        <v>38</v>
      </c>
      <c r="R9" s="18" t="s">
        <v>38</v>
      </c>
      <c r="S9" s="18" t="s">
        <v>38</v>
      </c>
      <c r="T9" s="18" t="s">
        <v>38</v>
      </c>
      <c r="U9" s="18" t="s">
        <v>38</v>
      </c>
      <c r="V9" s="18" t="s">
        <v>38</v>
      </c>
      <c r="W9" s="18" t="str">
        <f t="shared" si="3"/>
        <v>WO</v>
      </c>
      <c r="X9" s="18" t="s">
        <v>38</v>
      </c>
      <c r="Y9" s="18" t="s">
        <v>38</v>
      </c>
      <c r="Z9" s="18" t="s">
        <v>40</v>
      </c>
      <c r="AA9" s="18" t="s">
        <v>38</v>
      </c>
      <c r="AB9" s="18" t="s">
        <v>38</v>
      </c>
      <c r="AC9" s="18" t="s">
        <v>38</v>
      </c>
      <c r="AD9" s="18" t="str">
        <f t="shared" si="3"/>
        <v>WO</v>
      </c>
      <c r="AE9" s="18" t="s">
        <v>38</v>
      </c>
      <c r="AF9" s="18" t="s">
        <v>38</v>
      </c>
      <c r="AG9" s="18" t="s">
        <v>38</v>
      </c>
      <c r="AH9" s="18" t="s">
        <v>40</v>
      </c>
      <c r="AI9" s="18" t="s">
        <v>38</v>
      </c>
      <c r="AJ9" s="18" t="s">
        <v>38</v>
      </c>
      <c r="AK9" s="18" t="str">
        <f t="shared" si="3"/>
        <v>WO</v>
      </c>
      <c r="AL9" s="18" t="s">
        <v>38</v>
      </c>
      <c r="AM9" s="18" t="s">
        <v>38</v>
      </c>
      <c r="AN9" s="19" t="s">
        <v>38</v>
      </c>
      <c r="AO9" s="32"/>
      <c r="AP9" s="34"/>
      <c r="AQ9" s="9">
        <v>1</v>
      </c>
      <c r="AR9" s="9">
        <v>1001</v>
      </c>
      <c r="AS9" s="9" t="str">
        <f>$E$5</f>
        <v>December</v>
      </c>
      <c r="AT9" s="15" t="s">
        <v>3</v>
      </c>
      <c r="AU9" s="28">
        <f t="shared" ref="AU9:AU28" si="4">COUNTIF($J9:$AN9,"P")</f>
        <v>25</v>
      </c>
      <c r="AV9">
        <f t="shared" ref="AV9:AV28" si="5">COUNTIF($J9:$AN9,"A")</f>
        <v>0</v>
      </c>
      <c r="AW9">
        <f t="shared" ref="AW9:AW28" si="6">COUNTIF($J9:$AN9,"L")</f>
        <v>2</v>
      </c>
      <c r="AX9">
        <f>$I$9</f>
        <v>4</v>
      </c>
      <c r="AY9" s="29">
        <f>$H$5</f>
        <v>31</v>
      </c>
      <c r="AZ9" s="29">
        <f>AY9-AV9</f>
        <v>31</v>
      </c>
      <c r="BA9" s="30">
        <f ca="1">RANDBETWEEN(10000,50000)</f>
        <v>31579</v>
      </c>
      <c r="BB9" s="30">
        <f ca="1">BA9/AZ9</f>
        <v>1018.6774193548387</v>
      </c>
      <c r="BC9" s="30">
        <f ca="1">BB9*AV9</f>
        <v>0</v>
      </c>
      <c r="BD9" s="30">
        <f ca="1">BA9-BC9</f>
        <v>31579</v>
      </c>
      <c r="BF9" s="34"/>
      <c r="BG9" s="31"/>
      <c r="BH9" s="31"/>
      <c r="BI9" s="31"/>
      <c r="BJ9" s="31"/>
    </row>
    <row r="10" spans="1:62" x14ac:dyDescent="0.3">
      <c r="C10" s="31"/>
      <c r="D10" s="31"/>
      <c r="E10" s="32"/>
      <c r="F10" s="8">
        <v>2</v>
      </c>
      <c r="G10" s="9">
        <v>1002</v>
      </c>
      <c r="H10" s="15" t="s">
        <v>4</v>
      </c>
      <c r="I10" s="17">
        <f t="shared" ref="I10:I28" si="7">COUNTIF($J$7:$AN$7,"Sun")</f>
        <v>4</v>
      </c>
      <c r="J10" s="18" t="s">
        <v>38</v>
      </c>
      <c r="K10" s="18" t="s">
        <v>38</v>
      </c>
      <c r="L10" s="18" t="s">
        <v>39</v>
      </c>
      <c r="M10" s="18" t="s">
        <v>38</v>
      </c>
      <c r="N10" s="18" t="s">
        <v>38</v>
      </c>
      <c r="O10" s="18" t="s">
        <v>38</v>
      </c>
      <c r="P10" s="18" t="str">
        <f t="shared" si="3"/>
        <v>WO</v>
      </c>
      <c r="Q10" s="18" t="s">
        <v>38</v>
      </c>
      <c r="R10" s="18" t="s">
        <v>38</v>
      </c>
      <c r="S10" s="18" t="s">
        <v>39</v>
      </c>
      <c r="T10" s="18" t="s">
        <v>38</v>
      </c>
      <c r="U10" s="18" t="s">
        <v>38</v>
      </c>
      <c r="V10" s="18" t="s">
        <v>38</v>
      </c>
      <c r="W10" s="18" t="str">
        <f t="shared" si="3"/>
        <v>WO</v>
      </c>
      <c r="X10" s="18" t="s">
        <v>38</v>
      </c>
      <c r="Y10" s="18" t="s">
        <v>38</v>
      </c>
      <c r="Z10" s="18" t="s">
        <v>40</v>
      </c>
      <c r="AA10" s="18" t="s">
        <v>38</v>
      </c>
      <c r="AB10" s="18" t="s">
        <v>38</v>
      </c>
      <c r="AC10" s="18" t="s">
        <v>38</v>
      </c>
      <c r="AD10" s="18" t="str">
        <f t="shared" si="3"/>
        <v>WO</v>
      </c>
      <c r="AE10" s="18" t="s">
        <v>38</v>
      </c>
      <c r="AF10" s="18" t="s">
        <v>38</v>
      </c>
      <c r="AG10" s="18" t="s">
        <v>39</v>
      </c>
      <c r="AH10" s="18" t="s">
        <v>40</v>
      </c>
      <c r="AI10" s="18" t="s">
        <v>38</v>
      </c>
      <c r="AJ10" s="18" t="s">
        <v>38</v>
      </c>
      <c r="AK10" s="18" t="str">
        <f t="shared" si="3"/>
        <v>WO</v>
      </c>
      <c r="AL10" s="18" t="s">
        <v>38</v>
      </c>
      <c r="AM10" s="18" t="s">
        <v>38</v>
      </c>
      <c r="AN10" s="19" t="s">
        <v>38</v>
      </c>
      <c r="AO10" s="32"/>
      <c r="AP10" s="34"/>
      <c r="AQ10" s="9">
        <v>2</v>
      </c>
      <c r="AR10" s="9">
        <v>1002</v>
      </c>
      <c r="AS10" s="9" t="str">
        <f t="shared" ref="AS10:AS28" si="8">$E$5</f>
        <v>December</v>
      </c>
      <c r="AT10" s="15" t="s">
        <v>4</v>
      </c>
      <c r="AU10" s="28">
        <f t="shared" si="4"/>
        <v>22</v>
      </c>
      <c r="AV10">
        <f t="shared" si="5"/>
        <v>3</v>
      </c>
      <c r="AW10">
        <f t="shared" si="6"/>
        <v>2</v>
      </c>
      <c r="AX10">
        <f t="shared" ref="AX10:AX28" si="9">$I$9</f>
        <v>4</v>
      </c>
      <c r="AY10" s="29">
        <f t="shared" ref="AY10:AY28" si="10">$H$5</f>
        <v>31</v>
      </c>
      <c r="AZ10" s="29">
        <f t="shared" ref="AZ10:AZ28" si="11">AY10-AV10</f>
        <v>28</v>
      </c>
      <c r="BA10" s="30">
        <f t="shared" ref="BA10:BA28" ca="1" si="12">RANDBETWEEN(10000,50000)</f>
        <v>31263</v>
      </c>
      <c r="BB10" s="30">
        <f t="shared" ref="BB10:BB28" ca="1" si="13">BA10/AZ10</f>
        <v>1116.5357142857142</v>
      </c>
      <c r="BC10" s="30">
        <f t="shared" ref="BC10:BC28" ca="1" si="14">BB10*AV10</f>
        <v>3349.6071428571427</v>
      </c>
      <c r="BD10" s="30">
        <f t="shared" ref="BD10:BD28" ca="1" si="15">BA10-BC10</f>
        <v>27913.392857142859</v>
      </c>
      <c r="BF10" s="34"/>
      <c r="BG10" s="31"/>
      <c r="BH10" s="31"/>
      <c r="BI10" s="31"/>
      <c r="BJ10" s="31"/>
    </row>
    <row r="11" spans="1:62" x14ac:dyDescent="0.3">
      <c r="C11" s="31"/>
      <c r="D11" s="31"/>
      <c r="E11" s="32"/>
      <c r="F11" s="8">
        <v>3</v>
      </c>
      <c r="G11" s="9">
        <v>1003</v>
      </c>
      <c r="H11" s="15" t="s">
        <v>5</v>
      </c>
      <c r="I11" s="17">
        <f t="shared" si="7"/>
        <v>4</v>
      </c>
      <c r="J11" s="18" t="s">
        <v>38</v>
      </c>
      <c r="K11" s="18" t="s">
        <v>39</v>
      </c>
      <c r="L11" s="18" t="s">
        <v>38</v>
      </c>
      <c r="M11" s="18" t="s">
        <v>38</v>
      </c>
      <c r="N11" s="18" t="s">
        <v>39</v>
      </c>
      <c r="O11" s="18" t="s">
        <v>38</v>
      </c>
      <c r="P11" s="18" t="str">
        <f t="shared" si="3"/>
        <v>WO</v>
      </c>
      <c r="Q11" s="18" t="s">
        <v>38</v>
      </c>
      <c r="R11" s="18" t="s">
        <v>39</v>
      </c>
      <c r="S11" s="18" t="s">
        <v>38</v>
      </c>
      <c r="T11" s="18" t="s">
        <v>38</v>
      </c>
      <c r="U11" s="18" t="s">
        <v>38</v>
      </c>
      <c r="V11" s="18" t="s">
        <v>38</v>
      </c>
      <c r="W11" s="18" t="str">
        <f t="shared" si="3"/>
        <v>WO</v>
      </c>
      <c r="X11" s="18" t="s">
        <v>38</v>
      </c>
      <c r="Y11" s="18" t="s">
        <v>39</v>
      </c>
      <c r="Z11" s="18" t="s">
        <v>40</v>
      </c>
      <c r="AA11" s="18" t="s">
        <v>38</v>
      </c>
      <c r="AB11" s="18" t="s">
        <v>38</v>
      </c>
      <c r="AC11" s="18" t="s">
        <v>39</v>
      </c>
      <c r="AD11" s="18" t="str">
        <f t="shared" si="3"/>
        <v>WO</v>
      </c>
      <c r="AE11" s="18" t="s">
        <v>38</v>
      </c>
      <c r="AF11" s="18" t="s">
        <v>39</v>
      </c>
      <c r="AG11" s="18" t="s">
        <v>38</v>
      </c>
      <c r="AH11" s="18" t="s">
        <v>40</v>
      </c>
      <c r="AI11" s="18" t="s">
        <v>38</v>
      </c>
      <c r="AJ11" s="18" t="s">
        <v>39</v>
      </c>
      <c r="AK11" s="18" t="str">
        <f t="shared" si="3"/>
        <v>WO</v>
      </c>
      <c r="AL11" s="18" t="s">
        <v>38</v>
      </c>
      <c r="AM11" s="18" t="s">
        <v>38</v>
      </c>
      <c r="AN11" s="19" t="s">
        <v>39</v>
      </c>
      <c r="AO11" s="32"/>
      <c r="AP11" s="34"/>
      <c r="AQ11" s="9">
        <v>3</v>
      </c>
      <c r="AR11" s="9">
        <v>1003</v>
      </c>
      <c r="AS11" s="9" t="str">
        <f t="shared" si="8"/>
        <v>December</v>
      </c>
      <c r="AT11" s="15" t="s">
        <v>5</v>
      </c>
      <c r="AU11" s="28">
        <f t="shared" si="4"/>
        <v>17</v>
      </c>
      <c r="AV11">
        <f t="shared" si="5"/>
        <v>8</v>
      </c>
      <c r="AW11">
        <f t="shared" si="6"/>
        <v>2</v>
      </c>
      <c r="AX11">
        <f t="shared" si="9"/>
        <v>4</v>
      </c>
      <c r="AY11" s="29">
        <f t="shared" si="10"/>
        <v>31</v>
      </c>
      <c r="AZ11" s="29">
        <f t="shared" si="11"/>
        <v>23</v>
      </c>
      <c r="BA11" s="30">
        <f t="shared" ca="1" si="12"/>
        <v>30841</v>
      </c>
      <c r="BB11" s="30">
        <f t="shared" ca="1" si="13"/>
        <v>1340.9130434782608</v>
      </c>
      <c r="BC11" s="30">
        <f t="shared" ca="1" si="14"/>
        <v>10727.304347826086</v>
      </c>
      <c r="BD11" s="30">
        <f t="shared" ca="1" si="15"/>
        <v>20113.695652173912</v>
      </c>
      <c r="BF11" s="34"/>
      <c r="BG11" s="31"/>
      <c r="BH11" s="31"/>
      <c r="BI11" s="31"/>
      <c r="BJ11" s="31"/>
    </row>
    <row r="12" spans="1:62" x14ac:dyDescent="0.3">
      <c r="C12" s="31"/>
      <c r="D12" s="31"/>
      <c r="E12" s="32"/>
      <c r="F12" s="8">
        <v>4</v>
      </c>
      <c r="G12" s="9">
        <v>1004</v>
      </c>
      <c r="H12" s="15" t="s">
        <v>6</v>
      </c>
      <c r="I12" s="17">
        <f t="shared" si="7"/>
        <v>4</v>
      </c>
      <c r="J12" s="18" t="s">
        <v>38</v>
      </c>
      <c r="K12" s="18" t="s">
        <v>39</v>
      </c>
      <c r="L12" s="18" t="s">
        <v>38</v>
      </c>
      <c r="M12" s="18" t="s">
        <v>38</v>
      </c>
      <c r="N12" s="18" t="s">
        <v>38</v>
      </c>
      <c r="O12" s="18" t="s">
        <v>38</v>
      </c>
      <c r="P12" s="18" t="str">
        <f t="shared" si="3"/>
        <v>WO</v>
      </c>
      <c r="Q12" s="18" t="s">
        <v>38</v>
      </c>
      <c r="R12" s="18" t="s">
        <v>38</v>
      </c>
      <c r="S12" s="18" t="s">
        <v>38</v>
      </c>
      <c r="T12" s="18" t="s">
        <v>38</v>
      </c>
      <c r="U12" s="18" t="s">
        <v>38</v>
      </c>
      <c r="V12" s="18" t="s">
        <v>38</v>
      </c>
      <c r="W12" s="18" t="str">
        <f t="shared" si="3"/>
        <v>WO</v>
      </c>
      <c r="X12" s="18" t="s">
        <v>38</v>
      </c>
      <c r="Y12" s="18" t="s">
        <v>39</v>
      </c>
      <c r="Z12" s="18" t="s">
        <v>40</v>
      </c>
      <c r="AA12" s="18" t="s">
        <v>38</v>
      </c>
      <c r="AB12" s="18" t="s">
        <v>38</v>
      </c>
      <c r="AC12" s="18" t="s">
        <v>38</v>
      </c>
      <c r="AD12" s="18" t="str">
        <f t="shared" si="3"/>
        <v>WO</v>
      </c>
      <c r="AE12" s="18" t="s">
        <v>38</v>
      </c>
      <c r="AF12" s="18" t="s">
        <v>39</v>
      </c>
      <c r="AG12" s="18" t="s">
        <v>38</v>
      </c>
      <c r="AH12" s="18" t="s">
        <v>40</v>
      </c>
      <c r="AI12" s="18" t="s">
        <v>38</v>
      </c>
      <c r="AJ12" s="18" t="s">
        <v>38</v>
      </c>
      <c r="AK12" s="18" t="str">
        <f t="shared" si="3"/>
        <v>WO</v>
      </c>
      <c r="AL12" s="18" t="s">
        <v>38</v>
      </c>
      <c r="AM12" s="18" t="s">
        <v>38</v>
      </c>
      <c r="AN12" s="19" t="s">
        <v>38</v>
      </c>
      <c r="AO12" s="32"/>
      <c r="AP12" s="34"/>
      <c r="AQ12" s="9">
        <v>4</v>
      </c>
      <c r="AR12" s="9">
        <v>1004</v>
      </c>
      <c r="AS12" s="9" t="str">
        <f t="shared" si="8"/>
        <v>December</v>
      </c>
      <c r="AT12" s="15" t="s">
        <v>6</v>
      </c>
      <c r="AU12" s="28">
        <f t="shared" si="4"/>
        <v>22</v>
      </c>
      <c r="AV12">
        <f t="shared" si="5"/>
        <v>3</v>
      </c>
      <c r="AW12">
        <f t="shared" si="6"/>
        <v>2</v>
      </c>
      <c r="AX12">
        <f t="shared" si="9"/>
        <v>4</v>
      </c>
      <c r="AY12" s="29">
        <f t="shared" si="10"/>
        <v>31</v>
      </c>
      <c r="AZ12" s="29">
        <f t="shared" si="11"/>
        <v>28</v>
      </c>
      <c r="BA12" s="30">
        <f t="shared" ca="1" si="12"/>
        <v>25729</v>
      </c>
      <c r="BB12" s="30">
        <f t="shared" ca="1" si="13"/>
        <v>918.89285714285711</v>
      </c>
      <c r="BC12" s="30">
        <f t="shared" ca="1" si="14"/>
        <v>2756.6785714285716</v>
      </c>
      <c r="BD12" s="30">
        <f t="shared" ca="1" si="15"/>
        <v>22972.321428571428</v>
      </c>
      <c r="BF12" s="34"/>
      <c r="BG12" s="31"/>
      <c r="BH12" s="31"/>
      <c r="BI12" s="31"/>
      <c r="BJ12" s="31"/>
    </row>
    <row r="13" spans="1:62" x14ac:dyDescent="0.3">
      <c r="C13" s="31"/>
      <c r="D13" s="31"/>
      <c r="E13" s="32"/>
      <c r="F13" s="8">
        <v>5</v>
      </c>
      <c r="G13" s="9">
        <v>1005</v>
      </c>
      <c r="H13" s="15" t="s">
        <v>7</v>
      </c>
      <c r="I13" s="17">
        <f t="shared" si="7"/>
        <v>4</v>
      </c>
      <c r="J13" s="18" t="s">
        <v>38</v>
      </c>
      <c r="K13" s="18" t="s">
        <v>38</v>
      </c>
      <c r="L13" s="18" t="s">
        <v>39</v>
      </c>
      <c r="M13" s="18" t="s">
        <v>38</v>
      </c>
      <c r="N13" s="18" t="s">
        <v>39</v>
      </c>
      <c r="O13" s="18" t="s">
        <v>39</v>
      </c>
      <c r="P13" s="18" t="str">
        <f t="shared" si="3"/>
        <v>WO</v>
      </c>
      <c r="Q13" s="18" t="s">
        <v>38</v>
      </c>
      <c r="R13" s="18" t="s">
        <v>38</v>
      </c>
      <c r="S13" s="18" t="s">
        <v>39</v>
      </c>
      <c r="T13" s="18" t="s">
        <v>38</v>
      </c>
      <c r="U13" s="18" t="s">
        <v>38</v>
      </c>
      <c r="V13" s="18" t="s">
        <v>39</v>
      </c>
      <c r="W13" s="18" t="str">
        <f t="shared" si="3"/>
        <v>WO</v>
      </c>
      <c r="X13" s="18" t="s">
        <v>38</v>
      </c>
      <c r="Y13" s="18" t="s">
        <v>38</v>
      </c>
      <c r="Z13" s="18" t="s">
        <v>40</v>
      </c>
      <c r="AA13" s="18" t="s">
        <v>38</v>
      </c>
      <c r="AB13" s="18" t="s">
        <v>38</v>
      </c>
      <c r="AC13" s="18" t="s">
        <v>38</v>
      </c>
      <c r="AD13" s="18" t="str">
        <f t="shared" si="3"/>
        <v>WO</v>
      </c>
      <c r="AE13" s="18" t="s">
        <v>38</v>
      </c>
      <c r="AF13" s="18" t="s">
        <v>38</v>
      </c>
      <c r="AG13" s="18" t="s">
        <v>39</v>
      </c>
      <c r="AH13" s="18" t="s">
        <v>40</v>
      </c>
      <c r="AI13" s="18" t="s">
        <v>38</v>
      </c>
      <c r="AJ13" s="18" t="s">
        <v>38</v>
      </c>
      <c r="AK13" s="18" t="str">
        <f t="shared" si="3"/>
        <v>WO</v>
      </c>
      <c r="AL13" s="18" t="s">
        <v>39</v>
      </c>
      <c r="AM13" s="18" t="s">
        <v>38</v>
      </c>
      <c r="AN13" s="19" t="s">
        <v>38</v>
      </c>
      <c r="AO13" s="32"/>
      <c r="AP13" s="34"/>
      <c r="AQ13" s="9">
        <v>5</v>
      </c>
      <c r="AR13" s="9">
        <v>1005</v>
      </c>
      <c r="AS13" s="9" t="str">
        <f t="shared" si="8"/>
        <v>December</v>
      </c>
      <c r="AT13" s="15" t="s">
        <v>7</v>
      </c>
      <c r="AU13" s="28">
        <f t="shared" si="4"/>
        <v>18</v>
      </c>
      <c r="AV13">
        <f t="shared" si="5"/>
        <v>7</v>
      </c>
      <c r="AW13">
        <f t="shared" si="6"/>
        <v>2</v>
      </c>
      <c r="AX13">
        <f t="shared" si="9"/>
        <v>4</v>
      </c>
      <c r="AY13" s="29">
        <f t="shared" si="10"/>
        <v>31</v>
      </c>
      <c r="AZ13" s="29">
        <f t="shared" si="11"/>
        <v>24</v>
      </c>
      <c r="BA13" s="30">
        <f t="shared" ca="1" si="12"/>
        <v>38752</v>
      </c>
      <c r="BB13" s="30">
        <f t="shared" ca="1" si="13"/>
        <v>1614.6666666666667</v>
      </c>
      <c r="BC13" s="30">
        <f t="shared" ca="1" si="14"/>
        <v>11302.666666666668</v>
      </c>
      <c r="BD13" s="30">
        <f t="shared" ca="1" si="15"/>
        <v>27449.333333333332</v>
      </c>
      <c r="BF13" s="34"/>
      <c r="BG13" s="31"/>
      <c r="BH13" s="31"/>
      <c r="BI13" s="31"/>
      <c r="BJ13" s="31"/>
    </row>
    <row r="14" spans="1:62" x14ac:dyDescent="0.3">
      <c r="C14" s="31"/>
      <c r="D14" s="31"/>
      <c r="E14" s="32"/>
      <c r="F14" s="8">
        <v>6</v>
      </c>
      <c r="G14" s="9">
        <v>1006</v>
      </c>
      <c r="H14" s="15" t="s">
        <v>8</v>
      </c>
      <c r="I14" s="17">
        <f t="shared" si="7"/>
        <v>4</v>
      </c>
      <c r="J14" s="18" t="s">
        <v>38</v>
      </c>
      <c r="K14" s="18" t="s">
        <v>38</v>
      </c>
      <c r="L14" s="18" t="s">
        <v>39</v>
      </c>
      <c r="M14" s="18" t="s">
        <v>38</v>
      </c>
      <c r="N14" s="18" t="s">
        <v>38</v>
      </c>
      <c r="O14" s="18" t="s">
        <v>38</v>
      </c>
      <c r="P14" s="18" t="str">
        <f t="shared" si="3"/>
        <v>WO</v>
      </c>
      <c r="Q14" s="18" t="s">
        <v>38</v>
      </c>
      <c r="R14" s="18" t="s">
        <v>38</v>
      </c>
      <c r="S14" s="18" t="s">
        <v>39</v>
      </c>
      <c r="T14" s="18" t="s">
        <v>38</v>
      </c>
      <c r="U14" s="18" t="s">
        <v>38</v>
      </c>
      <c r="V14" s="18" t="s">
        <v>38</v>
      </c>
      <c r="W14" s="18" t="str">
        <f t="shared" si="3"/>
        <v>WO</v>
      </c>
      <c r="X14" s="18" t="s">
        <v>38</v>
      </c>
      <c r="Y14" s="18" t="s">
        <v>38</v>
      </c>
      <c r="Z14" s="18" t="s">
        <v>40</v>
      </c>
      <c r="AA14" s="18" t="s">
        <v>38</v>
      </c>
      <c r="AB14" s="18" t="s">
        <v>38</v>
      </c>
      <c r="AC14" s="18" t="s">
        <v>38</v>
      </c>
      <c r="AD14" s="18" t="str">
        <f t="shared" si="3"/>
        <v>WO</v>
      </c>
      <c r="AE14" s="18" t="s">
        <v>38</v>
      </c>
      <c r="AF14" s="18" t="s">
        <v>38</v>
      </c>
      <c r="AG14" s="18" t="s">
        <v>39</v>
      </c>
      <c r="AH14" s="18" t="s">
        <v>40</v>
      </c>
      <c r="AI14" s="18" t="s">
        <v>38</v>
      </c>
      <c r="AJ14" s="18" t="s">
        <v>38</v>
      </c>
      <c r="AK14" s="18" t="str">
        <f t="shared" si="3"/>
        <v>WO</v>
      </c>
      <c r="AL14" s="18" t="s">
        <v>38</v>
      </c>
      <c r="AM14" s="18" t="s">
        <v>38</v>
      </c>
      <c r="AN14" s="19" t="s">
        <v>38</v>
      </c>
      <c r="AO14" s="32"/>
      <c r="AP14" s="34"/>
      <c r="AQ14" s="9">
        <v>6</v>
      </c>
      <c r="AR14" s="9">
        <v>1006</v>
      </c>
      <c r="AS14" s="9" t="str">
        <f t="shared" si="8"/>
        <v>December</v>
      </c>
      <c r="AT14" s="15" t="s">
        <v>8</v>
      </c>
      <c r="AU14" s="28">
        <f t="shared" si="4"/>
        <v>22</v>
      </c>
      <c r="AV14">
        <f t="shared" si="5"/>
        <v>3</v>
      </c>
      <c r="AW14">
        <f t="shared" si="6"/>
        <v>2</v>
      </c>
      <c r="AX14">
        <f t="shared" si="9"/>
        <v>4</v>
      </c>
      <c r="AY14" s="29">
        <f t="shared" si="10"/>
        <v>31</v>
      </c>
      <c r="AZ14" s="29">
        <f t="shared" si="11"/>
        <v>28</v>
      </c>
      <c r="BA14" s="30">
        <f t="shared" ca="1" si="12"/>
        <v>24945</v>
      </c>
      <c r="BB14" s="30">
        <f t="shared" ca="1" si="13"/>
        <v>890.89285714285711</v>
      </c>
      <c r="BC14" s="30">
        <f t="shared" ca="1" si="14"/>
        <v>2672.6785714285716</v>
      </c>
      <c r="BD14" s="30">
        <f t="shared" ca="1" si="15"/>
        <v>22272.321428571428</v>
      </c>
      <c r="BF14" s="34"/>
      <c r="BG14" s="31"/>
      <c r="BH14" s="31"/>
      <c r="BI14" s="31"/>
      <c r="BJ14" s="31"/>
    </row>
    <row r="15" spans="1:62" x14ac:dyDescent="0.3">
      <c r="C15" s="31"/>
      <c r="D15" s="31"/>
      <c r="E15" s="32"/>
      <c r="F15" s="8">
        <v>7</v>
      </c>
      <c r="G15" s="9">
        <v>1007</v>
      </c>
      <c r="H15" s="15" t="s">
        <v>9</v>
      </c>
      <c r="I15" s="17">
        <f t="shared" si="7"/>
        <v>4</v>
      </c>
      <c r="J15" s="18" t="s">
        <v>38</v>
      </c>
      <c r="K15" s="18" t="s">
        <v>38</v>
      </c>
      <c r="L15" s="18" t="s">
        <v>38</v>
      </c>
      <c r="M15" s="18" t="s">
        <v>38</v>
      </c>
      <c r="N15" s="18" t="s">
        <v>38</v>
      </c>
      <c r="O15" s="18" t="s">
        <v>38</v>
      </c>
      <c r="P15" s="18" t="str">
        <f t="shared" si="3"/>
        <v>WO</v>
      </c>
      <c r="Q15" s="18" t="s">
        <v>38</v>
      </c>
      <c r="R15" s="18" t="s">
        <v>38</v>
      </c>
      <c r="S15" s="18" t="s">
        <v>38</v>
      </c>
      <c r="T15" s="18" t="s">
        <v>38</v>
      </c>
      <c r="U15" s="18" t="s">
        <v>38</v>
      </c>
      <c r="V15" s="18" t="s">
        <v>38</v>
      </c>
      <c r="W15" s="18" t="str">
        <f t="shared" si="3"/>
        <v>WO</v>
      </c>
      <c r="X15" s="18" t="s">
        <v>38</v>
      </c>
      <c r="Y15" s="18" t="s">
        <v>38</v>
      </c>
      <c r="Z15" s="18" t="s">
        <v>40</v>
      </c>
      <c r="AA15" s="18" t="s">
        <v>38</v>
      </c>
      <c r="AB15" s="18" t="s">
        <v>38</v>
      </c>
      <c r="AC15" s="18" t="s">
        <v>38</v>
      </c>
      <c r="AD15" s="18" t="str">
        <f t="shared" si="3"/>
        <v>WO</v>
      </c>
      <c r="AE15" s="18" t="s">
        <v>38</v>
      </c>
      <c r="AF15" s="18" t="s">
        <v>38</v>
      </c>
      <c r="AG15" s="18" t="s">
        <v>38</v>
      </c>
      <c r="AH15" s="18" t="s">
        <v>40</v>
      </c>
      <c r="AI15" s="18" t="s">
        <v>38</v>
      </c>
      <c r="AJ15" s="18" t="s">
        <v>38</v>
      </c>
      <c r="AK15" s="18" t="str">
        <f t="shared" si="3"/>
        <v>WO</v>
      </c>
      <c r="AL15" s="18" t="s">
        <v>38</v>
      </c>
      <c r="AM15" s="18" t="s">
        <v>38</v>
      </c>
      <c r="AN15" s="19" t="s">
        <v>38</v>
      </c>
      <c r="AO15" s="32"/>
      <c r="AP15" s="34"/>
      <c r="AQ15" s="9">
        <v>7</v>
      </c>
      <c r="AR15" s="9">
        <v>1007</v>
      </c>
      <c r="AS15" s="9" t="str">
        <f t="shared" si="8"/>
        <v>December</v>
      </c>
      <c r="AT15" s="15" t="s">
        <v>9</v>
      </c>
      <c r="AU15" s="28">
        <f t="shared" si="4"/>
        <v>25</v>
      </c>
      <c r="AV15">
        <f t="shared" si="5"/>
        <v>0</v>
      </c>
      <c r="AW15">
        <f t="shared" si="6"/>
        <v>2</v>
      </c>
      <c r="AX15">
        <f t="shared" si="9"/>
        <v>4</v>
      </c>
      <c r="AY15" s="29">
        <f t="shared" si="10"/>
        <v>31</v>
      </c>
      <c r="AZ15" s="29">
        <f t="shared" si="11"/>
        <v>31</v>
      </c>
      <c r="BA15" s="30">
        <f t="shared" ca="1" si="12"/>
        <v>41093</v>
      </c>
      <c r="BB15" s="30">
        <f t="shared" ca="1" si="13"/>
        <v>1325.5806451612902</v>
      </c>
      <c r="BC15" s="30">
        <f t="shared" ca="1" si="14"/>
        <v>0</v>
      </c>
      <c r="BD15" s="30">
        <f t="shared" ca="1" si="15"/>
        <v>41093</v>
      </c>
      <c r="BF15" s="34"/>
      <c r="BG15" s="31"/>
      <c r="BH15" s="31"/>
      <c r="BI15" s="31"/>
      <c r="BJ15" s="31"/>
    </row>
    <row r="16" spans="1:62" x14ac:dyDescent="0.3">
      <c r="C16" s="31"/>
      <c r="D16" s="31"/>
      <c r="E16" s="32"/>
      <c r="F16" s="8">
        <v>8</v>
      </c>
      <c r="G16" s="9">
        <v>1008</v>
      </c>
      <c r="H16" s="15" t="s">
        <v>10</v>
      </c>
      <c r="I16" s="17">
        <f t="shared" si="7"/>
        <v>4</v>
      </c>
      <c r="J16" s="18" t="s">
        <v>38</v>
      </c>
      <c r="K16" s="18" t="s">
        <v>39</v>
      </c>
      <c r="L16" s="18" t="s">
        <v>38</v>
      </c>
      <c r="M16" s="18" t="s">
        <v>38</v>
      </c>
      <c r="N16" s="18" t="s">
        <v>38</v>
      </c>
      <c r="O16" s="18" t="s">
        <v>39</v>
      </c>
      <c r="P16" s="18" t="str">
        <f t="shared" si="3"/>
        <v>WO</v>
      </c>
      <c r="Q16" s="18" t="s">
        <v>38</v>
      </c>
      <c r="R16" s="18" t="s">
        <v>39</v>
      </c>
      <c r="S16" s="18" t="s">
        <v>38</v>
      </c>
      <c r="T16" s="18" t="s">
        <v>38</v>
      </c>
      <c r="U16" s="18" t="s">
        <v>38</v>
      </c>
      <c r="V16" s="18" t="s">
        <v>38</v>
      </c>
      <c r="W16" s="18" t="str">
        <f t="shared" si="3"/>
        <v>WO</v>
      </c>
      <c r="X16" s="18" t="s">
        <v>38</v>
      </c>
      <c r="Y16" s="18" t="s">
        <v>39</v>
      </c>
      <c r="Z16" s="18" t="s">
        <v>40</v>
      </c>
      <c r="AA16" s="18" t="s">
        <v>38</v>
      </c>
      <c r="AB16" s="18" t="s">
        <v>38</v>
      </c>
      <c r="AC16" s="18" t="s">
        <v>38</v>
      </c>
      <c r="AD16" s="18" t="str">
        <f t="shared" si="3"/>
        <v>WO</v>
      </c>
      <c r="AE16" s="18" t="s">
        <v>38</v>
      </c>
      <c r="AF16" s="18" t="s">
        <v>39</v>
      </c>
      <c r="AG16" s="18" t="s">
        <v>38</v>
      </c>
      <c r="AH16" s="18" t="s">
        <v>40</v>
      </c>
      <c r="AI16" s="18" t="s">
        <v>38</v>
      </c>
      <c r="AJ16" s="18" t="s">
        <v>38</v>
      </c>
      <c r="AK16" s="18" t="str">
        <f t="shared" si="3"/>
        <v>WO</v>
      </c>
      <c r="AL16" s="18" t="s">
        <v>39</v>
      </c>
      <c r="AM16" s="18" t="s">
        <v>38</v>
      </c>
      <c r="AN16" s="19" t="s">
        <v>38</v>
      </c>
      <c r="AO16" s="32"/>
      <c r="AP16" s="34"/>
      <c r="AQ16" s="9">
        <v>8</v>
      </c>
      <c r="AR16" s="9">
        <v>1008</v>
      </c>
      <c r="AS16" s="9" t="str">
        <f t="shared" si="8"/>
        <v>December</v>
      </c>
      <c r="AT16" s="15" t="s">
        <v>10</v>
      </c>
      <c r="AU16" s="28">
        <f t="shared" si="4"/>
        <v>19</v>
      </c>
      <c r="AV16">
        <f t="shared" si="5"/>
        <v>6</v>
      </c>
      <c r="AW16">
        <f t="shared" si="6"/>
        <v>2</v>
      </c>
      <c r="AX16">
        <f t="shared" si="9"/>
        <v>4</v>
      </c>
      <c r="AY16" s="29">
        <f t="shared" si="10"/>
        <v>31</v>
      </c>
      <c r="AZ16" s="29">
        <f t="shared" si="11"/>
        <v>25</v>
      </c>
      <c r="BA16" s="30">
        <f t="shared" ca="1" si="12"/>
        <v>21482</v>
      </c>
      <c r="BB16" s="30">
        <f t="shared" ca="1" si="13"/>
        <v>859.28</v>
      </c>
      <c r="BC16" s="30">
        <f t="shared" ca="1" si="14"/>
        <v>5155.68</v>
      </c>
      <c r="BD16" s="30">
        <f t="shared" ca="1" si="15"/>
        <v>16326.32</v>
      </c>
      <c r="BF16" s="34"/>
      <c r="BG16" s="31"/>
      <c r="BH16" s="31"/>
      <c r="BI16" s="31"/>
      <c r="BJ16" s="31"/>
    </row>
    <row r="17" spans="1:62" x14ac:dyDescent="0.3">
      <c r="C17" s="31"/>
      <c r="D17" s="31"/>
      <c r="E17" s="32"/>
      <c r="F17" s="8">
        <v>9</v>
      </c>
      <c r="G17" s="9">
        <v>1009</v>
      </c>
      <c r="H17" s="15" t="s">
        <v>11</v>
      </c>
      <c r="I17" s="17">
        <f t="shared" si="7"/>
        <v>4</v>
      </c>
      <c r="J17" s="18" t="s">
        <v>38</v>
      </c>
      <c r="K17" s="18" t="s">
        <v>38</v>
      </c>
      <c r="L17" s="18" t="s">
        <v>38</v>
      </c>
      <c r="M17" s="18" t="s">
        <v>38</v>
      </c>
      <c r="N17" s="18" t="s">
        <v>38</v>
      </c>
      <c r="O17" s="18" t="s">
        <v>38</v>
      </c>
      <c r="P17" s="18" t="str">
        <f t="shared" si="3"/>
        <v>WO</v>
      </c>
      <c r="Q17" s="18" t="s">
        <v>38</v>
      </c>
      <c r="R17" s="18" t="s">
        <v>38</v>
      </c>
      <c r="S17" s="18" t="s">
        <v>38</v>
      </c>
      <c r="T17" s="18" t="s">
        <v>38</v>
      </c>
      <c r="U17" s="18" t="s">
        <v>38</v>
      </c>
      <c r="V17" s="18" t="s">
        <v>38</v>
      </c>
      <c r="W17" s="18" t="str">
        <f t="shared" si="3"/>
        <v>WO</v>
      </c>
      <c r="X17" s="18" t="s">
        <v>38</v>
      </c>
      <c r="Y17" s="18" t="s">
        <v>38</v>
      </c>
      <c r="Z17" s="18" t="s">
        <v>40</v>
      </c>
      <c r="AA17" s="18" t="s">
        <v>38</v>
      </c>
      <c r="AB17" s="18" t="s">
        <v>38</v>
      </c>
      <c r="AC17" s="18" t="s">
        <v>38</v>
      </c>
      <c r="AD17" s="18" t="str">
        <f t="shared" ref="AD17:AK28" si="16">IF(AD$7="Sun","WO","")</f>
        <v>WO</v>
      </c>
      <c r="AE17" s="18" t="s">
        <v>38</v>
      </c>
      <c r="AF17" s="18" t="s">
        <v>38</v>
      </c>
      <c r="AG17" s="18" t="s">
        <v>38</v>
      </c>
      <c r="AH17" s="18" t="s">
        <v>38</v>
      </c>
      <c r="AI17" s="18" t="s">
        <v>38</v>
      </c>
      <c r="AJ17" s="18" t="s">
        <v>38</v>
      </c>
      <c r="AK17" s="18" t="str">
        <f t="shared" si="16"/>
        <v>WO</v>
      </c>
      <c r="AL17" s="18" t="s">
        <v>38</v>
      </c>
      <c r="AM17" s="18" t="s">
        <v>38</v>
      </c>
      <c r="AN17" s="19" t="s">
        <v>38</v>
      </c>
      <c r="AO17" s="32"/>
      <c r="AP17" s="34"/>
      <c r="AQ17" s="9">
        <v>9</v>
      </c>
      <c r="AR17" s="9">
        <v>1009</v>
      </c>
      <c r="AS17" s="9" t="str">
        <f t="shared" si="8"/>
        <v>December</v>
      </c>
      <c r="AT17" s="15" t="s">
        <v>11</v>
      </c>
      <c r="AU17" s="28">
        <f t="shared" si="4"/>
        <v>26</v>
      </c>
      <c r="AV17">
        <f t="shared" si="5"/>
        <v>0</v>
      </c>
      <c r="AW17">
        <f t="shared" si="6"/>
        <v>1</v>
      </c>
      <c r="AX17">
        <f t="shared" si="9"/>
        <v>4</v>
      </c>
      <c r="AY17" s="29">
        <f t="shared" si="10"/>
        <v>31</v>
      </c>
      <c r="AZ17" s="29">
        <f t="shared" si="11"/>
        <v>31</v>
      </c>
      <c r="BA17" s="30">
        <f t="shared" ca="1" si="12"/>
        <v>14399</v>
      </c>
      <c r="BB17" s="30">
        <f t="shared" ca="1" si="13"/>
        <v>464.48387096774195</v>
      </c>
      <c r="BC17" s="30">
        <f t="shared" ca="1" si="14"/>
        <v>0</v>
      </c>
      <c r="BD17" s="30">
        <f t="shared" ca="1" si="15"/>
        <v>14399</v>
      </c>
      <c r="BF17" s="34"/>
      <c r="BG17" s="31"/>
      <c r="BH17" s="31"/>
      <c r="BI17" s="31"/>
      <c r="BJ17" s="31"/>
    </row>
    <row r="18" spans="1:62" x14ac:dyDescent="0.3">
      <c r="C18" s="31"/>
      <c r="D18" s="31"/>
      <c r="E18" s="32"/>
      <c r="F18" s="8">
        <v>10</v>
      </c>
      <c r="G18" s="9">
        <v>1010</v>
      </c>
      <c r="H18" s="15" t="s">
        <v>12</v>
      </c>
      <c r="I18" s="17">
        <f t="shared" si="7"/>
        <v>4</v>
      </c>
      <c r="J18" s="18" t="s">
        <v>38</v>
      </c>
      <c r="K18" s="18" t="s">
        <v>38</v>
      </c>
      <c r="L18" s="18" t="s">
        <v>39</v>
      </c>
      <c r="M18" s="18" t="s">
        <v>38</v>
      </c>
      <c r="N18" s="18" t="s">
        <v>38</v>
      </c>
      <c r="O18" s="18" t="s">
        <v>38</v>
      </c>
      <c r="P18" s="18" t="str">
        <f t="shared" ref="P18:W28" si="17">IF(P$7="Sun","WO","")</f>
        <v>WO</v>
      </c>
      <c r="Q18" s="18" t="s">
        <v>38</v>
      </c>
      <c r="R18" s="18" t="s">
        <v>38</v>
      </c>
      <c r="S18" s="18" t="s">
        <v>38</v>
      </c>
      <c r="T18" s="18" t="s">
        <v>38</v>
      </c>
      <c r="U18" s="18" t="s">
        <v>38</v>
      </c>
      <c r="V18" s="18" t="s">
        <v>38</v>
      </c>
      <c r="W18" s="18" t="str">
        <f t="shared" si="17"/>
        <v>WO</v>
      </c>
      <c r="X18" s="18" t="s">
        <v>38</v>
      </c>
      <c r="Y18" s="18" t="s">
        <v>38</v>
      </c>
      <c r="Z18" s="18" t="s">
        <v>40</v>
      </c>
      <c r="AA18" s="18" t="s">
        <v>38</v>
      </c>
      <c r="AB18" s="18" t="s">
        <v>38</v>
      </c>
      <c r="AC18" s="18" t="s">
        <v>38</v>
      </c>
      <c r="AD18" s="18" t="str">
        <f t="shared" si="16"/>
        <v>WO</v>
      </c>
      <c r="AE18" s="18" t="s">
        <v>38</v>
      </c>
      <c r="AF18" s="18" t="s">
        <v>38</v>
      </c>
      <c r="AG18" s="18" t="s">
        <v>39</v>
      </c>
      <c r="AH18" s="18" t="s">
        <v>40</v>
      </c>
      <c r="AI18" s="18" t="s">
        <v>38</v>
      </c>
      <c r="AJ18" s="18" t="s">
        <v>38</v>
      </c>
      <c r="AK18" s="18" t="str">
        <f t="shared" si="16"/>
        <v>WO</v>
      </c>
      <c r="AL18" s="18" t="s">
        <v>38</v>
      </c>
      <c r="AM18" s="18" t="s">
        <v>38</v>
      </c>
      <c r="AN18" s="19" t="s">
        <v>38</v>
      </c>
      <c r="AO18" s="32"/>
      <c r="AP18" s="34"/>
      <c r="AQ18" s="9">
        <v>10</v>
      </c>
      <c r="AR18" s="9">
        <v>1010</v>
      </c>
      <c r="AS18" s="9" t="str">
        <f t="shared" si="8"/>
        <v>December</v>
      </c>
      <c r="AT18" s="15" t="s">
        <v>12</v>
      </c>
      <c r="AU18" s="28">
        <f t="shared" si="4"/>
        <v>23</v>
      </c>
      <c r="AV18">
        <f t="shared" si="5"/>
        <v>2</v>
      </c>
      <c r="AW18">
        <f t="shared" si="6"/>
        <v>2</v>
      </c>
      <c r="AX18">
        <f t="shared" si="9"/>
        <v>4</v>
      </c>
      <c r="AY18" s="29">
        <f t="shared" si="10"/>
        <v>31</v>
      </c>
      <c r="AZ18" s="29">
        <f t="shared" si="11"/>
        <v>29</v>
      </c>
      <c r="BA18" s="30">
        <f t="shared" ca="1" si="12"/>
        <v>29436</v>
      </c>
      <c r="BB18" s="30">
        <f t="shared" ca="1" si="13"/>
        <v>1015.0344827586207</v>
      </c>
      <c r="BC18" s="30">
        <f t="shared" ca="1" si="14"/>
        <v>2030.0689655172414</v>
      </c>
      <c r="BD18" s="30">
        <f t="shared" ca="1" si="15"/>
        <v>27405.931034482757</v>
      </c>
      <c r="BF18" s="34"/>
      <c r="BG18" s="31"/>
      <c r="BH18" s="31"/>
      <c r="BI18" s="31"/>
      <c r="BJ18" s="31"/>
    </row>
    <row r="19" spans="1:62" x14ac:dyDescent="0.3">
      <c r="C19" s="31"/>
      <c r="D19" s="31"/>
      <c r="E19" s="32"/>
      <c r="F19" s="8">
        <v>11</v>
      </c>
      <c r="G19" s="9">
        <v>1011</v>
      </c>
      <c r="H19" s="15" t="s">
        <v>13</v>
      </c>
      <c r="I19" s="17">
        <f t="shared" si="7"/>
        <v>4</v>
      </c>
      <c r="J19" s="18" t="s">
        <v>38</v>
      </c>
      <c r="K19" s="18" t="s">
        <v>38</v>
      </c>
      <c r="L19" s="18" t="s">
        <v>38</v>
      </c>
      <c r="M19" s="18" t="s">
        <v>38</v>
      </c>
      <c r="N19" s="18" t="s">
        <v>38</v>
      </c>
      <c r="O19" s="18" t="s">
        <v>38</v>
      </c>
      <c r="P19" s="18" t="str">
        <f t="shared" si="17"/>
        <v>WO</v>
      </c>
      <c r="Q19" s="18" t="s">
        <v>38</v>
      </c>
      <c r="R19" s="18" t="s">
        <v>38</v>
      </c>
      <c r="S19" s="18" t="s">
        <v>38</v>
      </c>
      <c r="T19" s="18" t="s">
        <v>38</v>
      </c>
      <c r="U19" s="18" t="s">
        <v>38</v>
      </c>
      <c r="V19" s="18" t="s">
        <v>38</v>
      </c>
      <c r="W19" s="18" t="str">
        <f t="shared" si="17"/>
        <v>WO</v>
      </c>
      <c r="X19" s="18" t="s">
        <v>38</v>
      </c>
      <c r="Y19" s="18" t="s">
        <v>38</v>
      </c>
      <c r="Z19" s="18" t="s">
        <v>40</v>
      </c>
      <c r="AA19" s="18" t="s">
        <v>38</v>
      </c>
      <c r="AB19" s="18" t="s">
        <v>38</v>
      </c>
      <c r="AC19" s="18" t="s">
        <v>38</v>
      </c>
      <c r="AD19" s="18" t="str">
        <f t="shared" si="16"/>
        <v>WO</v>
      </c>
      <c r="AE19" s="18" t="s">
        <v>38</v>
      </c>
      <c r="AF19" s="18" t="s">
        <v>38</v>
      </c>
      <c r="AG19" s="18" t="s">
        <v>38</v>
      </c>
      <c r="AH19" s="18" t="s">
        <v>40</v>
      </c>
      <c r="AI19" s="18" t="s">
        <v>38</v>
      </c>
      <c r="AJ19" s="18" t="s">
        <v>38</v>
      </c>
      <c r="AK19" s="18" t="str">
        <f t="shared" si="16"/>
        <v>WO</v>
      </c>
      <c r="AL19" s="18" t="s">
        <v>38</v>
      </c>
      <c r="AM19" s="18" t="s">
        <v>38</v>
      </c>
      <c r="AN19" s="19" t="s">
        <v>38</v>
      </c>
      <c r="AO19" s="32"/>
      <c r="AP19" s="34"/>
      <c r="AQ19" s="9">
        <v>11</v>
      </c>
      <c r="AR19" s="9">
        <v>1011</v>
      </c>
      <c r="AS19" s="9" t="str">
        <f t="shared" si="8"/>
        <v>December</v>
      </c>
      <c r="AT19" s="15" t="s">
        <v>13</v>
      </c>
      <c r="AU19" s="28">
        <f t="shared" si="4"/>
        <v>25</v>
      </c>
      <c r="AV19">
        <f t="shared" si="5"/>
        <v>0</v>
      </c>
      <c r="AW19">
        <f t="shared" si="6"/>
        <v>2</v>
      </c>
      <c r="AX19">
        <f t="shared" si="9"/>
        <v>4</v>
      </c>
      <c r="AY19" s="29">
        <f t="shared" si="10"/>
        <v>31</v>
      </c>
      <c r="AZ19" s="29">
        <f t="shared" si="11"/>
        <v>31</v>
      </c>
      <c r="BA19" s="30">
        <f t="shared" ca="1" si="12"/>
        <v>28527</v>
      </c>
      <c r="BB19" s="30">
        <f t="shared" ca="1" si="13"/>
        <v>920.22580645161293</v>
      </c>
      <c r="BC19" s="30">
        <f t="shared" ca="1" si="14"/>
        <v>0</v>
      </c>
      <c r="BD19" s="30">
        <f t="shared" ca="1" si="15"/>
        <v>28527</v>
      </c>
      <c r="BF19" s="34"/>
      <c r="BG19" s="31"/>
      <c r="BH19" s="31"/>
      <c r="BI19" s="31"/>
      <c r="BJ19" s="31"/>
    </row>
    <row r="20" spans="1:62" x14ac:dyDescent="0.3">
      <c r="C20" s="31"/>
      <c r="D20" s="31"/>
      <c r="E20" s="32"/>
      <c r="F20" s="8">
        <v>12</v>
      </c>
      <c r="G20" s="9">
        <v>1012</v>
      </c>
      <c r="H20" s="15" t="s">
        <v>14</v>
      </c>
      <c r="I20" s="17">
        <f t="shared" si="7"/>
        <v>4</v>
      </c>
      <c r="J20" s="18" t="s">
        <v>38</v>
      </c>
      <c r="K20" s="18" t="s">
        <v>38</v>
      </c>
      <c r="L20" s="18" t="s">
        <v>38</v>
      </c>
      <c r="M20" s="18" t="s">
        <v>38</v>
      </c>
      <c r="N20" s="18" t="s">
        <v>38</v>
      </c>
      <c r="O20" s="18" t="s">
        <v>38</v>
      </c>
      <c r="P20" s="18" t="str">
        <f t="shared" si="17"/>
        <v>WO</v>
      </c>
      <c r="Q20" s="18" t="s">
        <v>38</v>
      </c>
      <c r="R20" s="18" t="s">
        <v>38</v>
      </c>
      <c r="S20" s="18" t="s">
        <v>38</v>
      </c>
      <c r="T20" s="18" t="s">
        <v>38</v>
      </c>
      <c r="U20" s="18" t="s">
        <v>38</v>
      </c>
      <c r="V20" s="18" t="s">
        <v>38</v>
      </c>
      <c r="W20" s="18" t="str">
        <f t="shared" si="17"/>
        <v>WO</v>
      </c>
      <c r="X20" s="18" t="s">
        <v>38</v>
      </c>
      <c r="Y20" s="18" t="s">
        <v>38</v>
      </c>
      <c r="Z20" s="18" t="s">
        <v>40</v>
      </c>
      <c r="AA20" s="18" t="s">
        <v>38</v>
      </c>
      <c r="AB20" s="18" t="s">
        <v>38</v>
      </c>
      <c r="AC20" s="18" t="s">
        <v>38</v>
      </c>
      <c r="AD20" s="18" t="str">
        <f t="shared" si="16"/>
        <v>WO</v>
      </c>
      <c r="AE20" s="18" t="s">
        <v>38</v>
      </c>
      <c r="AF20" s="18" t="s">
        <v>38</v>
      </c>
      <c r="AG20" s="18" t="s">
        <v>38</v>
      </c>
      <c r="AH20" s="18" t="s">
        <v>40</v>
      </c>
      <c r="AI20" s="18" t="s">
        <v>38</v>
      </c>
      <c r="AJ20" s="18" t="s">
        <v>38</v>
      </c>
      <c r="AK20" s="18" t="str">
        <f t="shared" si="16"/>
        <v>WO</v>
      </c>
      <c r="AL20" s="18" t="s">
        <v>38</v>
      </c>
      <c r="AM20" s="18" t="s">
        <v>38</v>
      </c>
      <c r="AN20" s="19" t="s">
        <v>38</v>
      </c>
      <c r="AO20" s="32"/>
      <c r="AP20" s="34"/>
      <c r="AQ20" s="9">
        <v>12</v>
      </c>
      <c r="AR20" s="9">
        <v>1012</v>
      </c>
      <c r="AS20" s="9" t="str">
        <f t="shared" si="8"/>
        <v>December</v>
      </c>
      <c r="AT20" s="15" t="s">
        <v>14</v>
      </c>
      <c r="AU20" s="28">
        <f t="shared" si="4"/>
        <v>25</v>
      </c>
      <c r="AV20">
        <f t="shared" si="5"/>
        <v>0</v>
      </c>
      <c r="AW20">
        <f t="shared" si="6"/>
        <v>2</v>
      </c>
      <c r="AX20">
        <f t="shared" si="9"/>
        <v>4</v>
      </c>
      <c r="AY20" s="29">
        <f t="shared" si="10"/>
        <v>31</v>
      </c>
      <c r="AZ20" s="29">
        <f t="shared" si="11"/>
        <v>31</v>
      </c>
      <c r="BA20" s="30">
        <f t="shared" ca="1" si="12"/>
        <v>41548</v>
      </c>
      <c r="BB20" s="30">
        <f t="shared" ca="1" si="13"/>
        <v>1340.258064516129</v>
      </c>
      <c r="BC20" s="30">
        <f t="shared" ca="1" si="14"/>
        <v>0</v>
      </c>
      <c r="BD20" s="30">
        <f t="shared" ca="1" si="15"/>
        <v>41548</v>
      </c>
      <c r="BF20" s="34"/>
      <c r="BG20" s="31"/>
      <c r="BH20" s="31"/>
      <c r="BI20" s="31"/>
      <c r="BJ20" s="31"/>
    </row>
    <row r="21" spans="1:62" x14ac:dyDescent="0.3">
      <c r="C21" s="31"/>
      <c r="D21" s="31"/>
      <c r="E21" s="32"/>
      <c r="F21" s="8">
        <v>13</v>
      </c>
      <c r="G21" s="9">
        <v>1013</v>
      </c>
      <c r="H21" s="15" t="s">
        <v>15</v>
      </c>
      <c r="I21" s="17">
        <f t="shared" si="7"/>
        <v>4</v>
      </c>
      <c r="J21" s="18" t="s">
        <v>38</v>
      </c>
      <c r="K21" s="18" t="s">
        <v>39</v>
      </c>
      <c r="L21" s="18" t="s">
        <v>38</v>
      </c>
      <c r="M21" s="18" t="s">
        <v>38</v>
      </c>
      <c r="N21" s="18" t="s">
        <v>38</v>
      </c>
      <c r="O21" s="18" t="s">
        <v>38</v>
      </c>
      <c r="P21" s="18" t="str">
        <f t="shared" si="17"/>
        <v>WO</v>
      </c>
      <c r="Q21" s="18" t="s">
        <v>38</v>
      </c>
      <c r="R21" s="18" t="s">
        <v>39</v>
      </c>
      <c r="S21" s="18" t="s">
        <v>38</v>
      </c>
      <c r="T21" s="18" t="s">
        <v>38</v>
      </c>
      <c r="U21" s="18" t="s">
        <v>38</v>
      </c>
      <c r="V21" s="18" t="s">
        <v>38</v>
      </c>
      <c r="W21" s="18" t="str">
        <f t="shared" si="17"/>
        <v>WO</v>
      </c>
      <c r="X21" s="18" t="s">
        <v>38</v>
      </c>
      <c r="Y21" s="18" t="s">
        <v>39</v>
      </c>
      <c r="Z21" s="18" t="s">
        <v>40</v>
      </c>
      <c r="AA21" s="18" t="s">
        <v>38</v>
      </c>
      <c r="AB21" s="18" t="s">
        <v>38</v>
      </c>
      <c r="AC21" s="18" t="s">
        <v>38</v>
      </c>
      <c r="AD21" s="18" t="str">
        <f t="shared" si="16"/>
        <v>WO</v>
      </c>
      <c r="AE21" s="18" t="s">
        <v>38</v>
      </c>
      <c r="AF21" s="18" t="s">
        <v>39</v>
      </c>
      <c r="AG21" s="18" t="s">
        <v>38</v>
      </c>
      <c r="AH21" s="18" t="s">
        <v>40</v>
      </c>
      <c r="AI21" s="18" t="s">
        <v>38</v>
      </c>
      <c r="AJ21" s="18" t="s">
        <v>38</v>
      </c>
      <c r="AK21" s="18" t="str">
        <f t="shared" si="16"/>
        <v>WO</v>
      </c>
      <c r="AL21" s="18" t="s">
        <v>38</v>
      </c>
      <c r="AM21" s="18" t="s">
        <v>38</v>
      </c>
      <c r="AN21" s="19" t="s">
        <v>38</v>
      </c>
      <c r="AO21" s="32"/>
      <c r="AP21" s="34"/>
      <c r="AQ21" s="9">
        <v>13</v>
      </c>
      <c r="AR21" s="9">
        <v>1013</v>
      </c>
      <c r="AS21" s="9" t="str">
        <f t="shared" si="8"/>
        <v>December</v>
      </c>
      <c r="AT21" s="15" t="s">
        <v>15</v>
      </c>
      <c r="AU21" s="28">
        <f t="shared" si="4"/>
        <v>21</v>
      </c>
      <c r="AV21">
        <f t="shared" si="5"/>
        <v>4</v>
      </c>
      <c r="AW21">
        <f t="shared" si="6"/>
        <v>2</v>
      </c>
      <c r="AX21">
        <f t="shared" si="9"/>
        <v>4</v>
      </c>
      <c r="AY21" s="29">
        <f t="shared" si="10"/>
        <v>31</v>
      </c>
      <c r="AZ21" s="29">
        <f t="shared" si="11"/>
        <v>27</v>
      </c>
      <c r="BA21" s="30">
        <f t="shared" ca="1" si="12"/>
        <v>25051</v>
      </c>
      <c r="BB21" s="30">
        <f t="shared" ca="1" si="13"/>
        <v>927.81481481481478</v>
      </c>
      <c r="BC21" s="30">
        <f t="shared" ca="1" si="14"/>
        <v>3711.2592592592591</v>
      </c>
      <c r="BD21" s="30">
        <f t="shared" ca="1" si="15"/>
        <v>21339.740740740741</v>
      </c>
      <c r="BF21" s="34"/>
      <c r="BG21" s="31"/>
      <c r="BH21" s="31"/>
      <c r="BI21" s="31"/>
      <c r="BJ21" s="31"/>
    </row>
    <row r="22" spans="1:62" x14ac:dyDescent="0.3">
      <c r="C22" s="31"/>
      <c r="D22" s="31"/>
      <c r="E22" s="32"/>
      <c r="F22" s="8">
        <v>14</v>
      </c>
      <c r="G22" s="9">
        <v>1014</v>
      </c>
      <c r="H22" s="15" t="s">
        <v>16</v>
      </c>
      <c r="I22" s="17">
        <f t="shared" si="7"/>
        <v>4</v>
      </c>
      <c r="J22" s="18" t="s">
        <v>38</v>
      </c>
      <c r="K22" s="18" t="s">
        <v>38</v>
      </c>
      <c r="L22" s="18" t="s">
        <v>38</v>
      </c>
      <c r="M22" s="18" t="s">
        <v>38</v>
      </c>
      <c r="N22" s="18" t="s">
        <v>38</v>
      </c>
      <c r="O22" s="18" t="s">
        <v>38</v>
      </c>
      <c r="P22" s="18" t="str">
        <f t="shared" si="17"/>
        <v>WO</v>
      </c>
      <c r="Q22" s="18" t="s">
        <v>38</v>
      </c>
      <c r="R22" s="18" t="s">
        <v>38</v>
      </c>
      <c r="S22" s="18" t="s">
        <v>38</v>
      </c>
      <c r="T22" s="18" t="s">
        <v>38</v>
      </c>
      <c r="U22" s="18" t="s">
        <v>38</v>
      </c>
      <c r="V22" s="18" t="s">
        <v>38</v>
      </c>
      <c r="W22" s="18" t="str">
        <f t="shared" si="17"/>
        <v>WO</v>
      </c>
      <c r="X22" s="18" t="s">
        <v>38</v>
      </c>
      <c r="Y22" s="18" t="s">
        <v>38</v>
      </c>
      <c r="Z22" s="18" t="s">
        <v>40</v>
      </c>
      <c r="AA22" s="18" t="s">
        <v>38</v>
      </c>
      <c r="AB22" s="18" t="s">
        <v>38</v>
      </c>
      <c r="AC22" s="18" t="s">
        <v>38</v>
      </c>
      <c r="AD22" s="18" t="str">
        <f t="shared" si="16"/>
        <v>WO</v>
      </c>
      <c r="AE22" s="18" t="s">
        <v>38</v>
      </c>
      <c r="AF22" s="18" t="s">
        <v>38</v>
      </c>
      <c r="AG22" s="18" t="s">
        <v>38</v>
      </c>
      <c r="AH22" s="18" t="s">
        <v>40</v>
      </c>
      <c r="AI22" s="18" t="s">
        <v>38</v>
      </c>
      <c r="AJ22" s="18" t="s">
        <v>38</v>
      </c>
      <c r="AK22" s="18" t="str">
        <f t="shared" si="16"/>
        <v>WO</v>
      </c>
      <c r="AL22" s="18" t="s">
        <v>38</v>
      </c>
      <c r="AM22" s="18" t="s">
        <v>38</v>
      </c>
      <c r="AN22" s="19" t="s">
        <v>38</v>
      </c>
      <c r="AO22" s="32"/>
      <c r="AP22" s="34"/>
      <c r="AQ22" s="9">
        <v>14</v>
      </c>
      <c r="AR22" s="9">
        <v>1014</v>
      </c>
      <c r="AS22" s="9" t="str">
        <f t="shared" si="8"/>
        <v>December</v>
      </c>
      <c r="AT22" s="15" t="s">
        <v>16</v>
      </c>
      <c r="AU22" s="28">
        <f t="shared" si="4"/>
        <v>25</v>
      </c>
      <c r="AV22">
        <f t="shared" si="5"/>
        <v>0</v>
      </c>
      <c r="AW22">
        <f t="shared" si="6"/>
        <v>2</v>
      </c>
      <c r="AX22">
        <f t="shared" si="9"/>
        <v>4</v>
      </c>
      <c r="AY22" s="29">
        <f t="shared" si="10"/>
        <v>31</v>
      </c>
      <c r="AZ22" s="29">
        <f t="shared" si="11"/>
        <v>31</v>
      </c>
      <c r="BA22" s="30">
        <f t="shared" ca="1" si="12"/>
        <v>31382</v>
      </c>
      <c r="BB22" s="30">
        <f t="shared" ca="1" si="13"/>
        <v>1012.3225806451613</v>
      </c>
      <c r="BC22" s="30">
        <f t="shared" ca="1" si="14"/>
        <v>0</v>
      </c>
      <c r="BD22" s="30">
        <f t="shared" ca="1" si="15"/>
        <v>31382</v>
      </c>
      <c r="BF22" s="34"/>
      <c r="BG22" s="31"/>
      <c r="BH22" s="31"/>
      <c r="BI22" s="31"/>
      <c r="BJ22" s="31"/>
    </row>
    <row r="23" spans="1:62" x14ac:dyDescent="0.3">
      <c r="C23" s="31"/>
      <c r="D23" s="31"/>
      <c r="E23" s="32"/>
      <c r="F23" s="8">
        <v>15</v>
      </c>
      <c r="G23" s="9">
        <v>1015</v>
      </c>
      <c r="H23" s="15" t="s">
        <v>17</v>
      </c>
      <c r="I23" s="17">
        <f t="shared" si="7"/>
        <v>4</v>
      </c>
      <c r="J23" s="18" t="s">
        <v>38</v>
      </c>
      <c r="K23" s="18" t="s">
        <v>38</v>
      </c>
      <c r="L23" s="18" t="s">
        <v>38</v>
      </c>
      <c r="M23" s="18" t="s">
        <v>38</v>
      </c>
      <c r="N23" s="18" t="s">
        <v>38</v>
      </c>
      <c r="O23" s="18" t="s">
        <v>38</v>
      </c>
      <c r="P23" s="18" t="str">
        <f t="shared" si="17"/>
        <v>WO</v>
      </c>
      <c r="Q23" s="18" t="s">
        <v>38</v>
      </c>
      <c r="R23" s="18" t="s">
        <v>38</v>
      </c>
      <c r="S23" s="18" t="s">
        <v>38</v>
      </c>
      <c r="T23" s="18" t="s">
        <v>38</v>
      </c>
      <c r="U23" s="18" t="s">
        <v>38</v>
      </c>
      <c r="V23" s="18" t="s">
        <v>38</v>
      </c>
      <c r="W23" s="18" t="str">
        <f t="shared" si="17"/>
        <v>WO</v>
      </c>
      <c r="X23" s="18" t="s">
        <v>38</v>
      </c>
      <c r="Y23" s="18" t="s">
        <v>38</v>
      </c>
      <c r="Z23" s="18" t="s">
        <v>40</v>
      </c>
      <c r="AA23" s="18" t="s">
        <v>38</v>
      </c>
      <c r="AB23" s="18" t="s">
        <v>38</v>
      </c>
      <c r="AC23" s="18" t="s">
        <v>38</v>
      </c>
      <c r="AD23" s="18" t="str">
        <f t="shared" si="16"/>
        <v>WO</v>
      </c>
      <c r="AE23" s="18" t="s">
        <v>38</v>
      </c>
      <c r="AF23" s="18" t="s">
        <v>38</v>
      </c>
      <c r="AG23" s="18" t="s">
        <v>38</v>
      </c>
      <c r="AH23" s="18" t="s">
        <v>40</v>
      </c>
      <c r="AI23" s="18" t="s">
        <v>38</v>
      </c>
      <c r="AJ23" s="18" t="s">
        <v>38</v>
      </c>
      <c r="AK23" s="18" t="str">
        <f t="shared" si="16"/>
        <v>WO</v>
      </c>
      <c r="AL23" s="18" t="s">
        <v>38</v>
      </c>
      <c r="AM23" s="18" t="s">
        <v>38</v>
      </c>
      <c r="AN23" s="19" t="s">
        <v>38</v>
      </c>
      <c r="AO23" s="32"/>
      <c r="AP23" s="34"/>
      <c r="AQ23" s="9">
        <v>15</v>
      </c>
      <c r="AR23" s="9">
        <v>1015</v>
      </c>
      <c r="AS23" s="9" t="str">
        <f t="shared" si="8"/>
        <v>December</v>
      </c>
      <c r="AT23" s="15" t="s">
        <v>17</v>
      </c>
      <c r="AU23" s="28">
        <f t="shared" si="4"/>
        <v>25</v>
      </c>
      <c r="AV23">
        <f t="shared" si="5"/>
        <v>0</v>
      </c>
      <c r="AW23">
        <f t="shared" si="6"/>
        <v>2</v>
      </c>
      <c r="AX23">
        <f t="shared" si="9"/>
        <v>4</v>
      </c>
      <c r="AY23" s="29">
        <f t="shared" si="10"/>
        <v>31</v>
      </c>
      <c r="AZ23" s="29">
        <f t="shared" si="11"/>
        <v>31</v>
      </c>
      <c r="BA23" s="30">
        <f t="shared" ca="1" si="12"/>
        <v>46704</v>
      </c>
      <c r="BB23" s="30">
        <f t="shared" ca="1" si="13"/>
        <v>1506.5806451612902</v>
      </c>
      <c r="BC23" s="30">
        <f t="shared" ca="1" si="14"/>
        <v>0</v>
      </c>
      <c r="BD23" s="30">
        <f t="shared" ca="1" si="15"/>
        <v>46704</v>
      </c>
      <c r="BF23" s="34"/>
      <c r="BG23" s="31"/>
      <c r="BH23" s="31"/>
      <c r="BI23" s="31"/>
      <c r="BJ23" s="31"/>
    </row>
    <row r="24" spans="1:62" x14ac:dyDescent="0.3">
      <c r="C24" s="31"/>
      <c r="D24" s="31"/>
      <c r="E24" s="32"/>
      <c r="F24" s="8">
        <v>16</v>
      </c>
      <c r="G24" s="9">
        <v>1016</v>
      </c>
      <c r="H24" s="15" t="s">
        <v>18</v>
      </c>
      <c r="I24" s="17">
        <f t="shared" si="7"/>
        <v>4</v>
      </c>
      <c r="J24" s="18" t="s">
        <v>38</v>
      </c>
      <c r="K24" s="18" t="s">
        <v>38</v>
      </c>
      <c r="L24" s="18" t="s">
        <v>39</v>
      </c>
      <c r="M24" s="18" t="s">
        <v>38</v>
      </c>
      <c r="N24" s="18" t="s">
        <v>38</v>
      </c>
      <c r="O24" s="18" t="s">
        <v>38</v>
      </c>
      <c r="P24" s="18" t="str">
        <f t="shared" si="17"/>
        <v>WO</v>
      </c>
      <c r="Q24" s="18" t="s">
        <v>38</v>
      </c>
      <c r="R24" s="18" t="s">
        <v>38</v>
      </c>
      <c r="S24" s="18" t="s">
        <v>39</v>
      </c>
      <c r="T24" s="18" t="s">
        <v>38</v>
      </c>
      <c r="U24" s="18" t="s">
        <v>38</v>
      </c>
      <c r="V24" s="18" t="s">
        <v>38</v>
      </c>
      <c r="W24" s="18" t="str">
        <f t="shared" si="17"/>
        <v>WO</v>
      </c>
      <c r="X24" s="18" t="s">
        <v>38</v>
      </c>
      <c r="Y24" s="18" t="s">
        <v>38</v>
      </c>
      <c r="Z24" s="18" t="s">
        <v>40</v>
      </c>
      <c r="AA24" s="18" t="s">
        <v>38</v>
      </c>
      <c r="AB24" s="18" t="s">
        <v>38</v>
      </c>
      <c r="AC24" s="18" t="s">
        <v>38</v>
      </c>
      <c r="AD24" s="18" t="str">
        <f t="shared" si="16"/>
        <v>WO</v>
      </c>
      <c r="AE24" s="18" t="s">
        <v>38</v>
      </c>
      <c r="AF24" s="18" t="s">
        <v>38</v>
      </c>
      <c r="AG24" s="18" t="s">
        <v>39</v>
      </c>
      <c r="AH24" s="18" t="s">
        <v>40</v>
      </c>
      <c r="AI24" s="18" t="s">
        <v>38</v>
      </c>
      <c r="AJ24" s="18" t="s">
        <v>38</v>
      </c>
      <c r="AK24" s="18" t="str">
        <f t="shared" si="16"/>
        <v>WO</v>
      </c>
      <c r="AL24" s="18" t="s">
        <v>38</v>
      </c>
      <c r="AM24" s="18" t="s">
        <v>38</v>
      </c>
      <c r="AN24" s="19" t="s">
        <v>38</v>
      </c>
      <c r="AO24" s="32"/>
      <c r="AP24" s="34"/>
      <c r="AQ24" s="9">
        <v>16</v>
      </c>
      <c r="AR24" s="9">
        <v>1016</v>
      </c>
      <c r="AS24" s="9" t="str">
        <f t="shared" si="8"/>
        <v>December</v>
      </c>
      <c r="AT24" s="15" t="s">
        <v>18</v>
      </c>
      <c r="AU24" s="28">
        <f t="shared" si="4"/>
        <v>22</v>
      </c>
      <c r="AV24">
        <f t="shared" si="5"/>
        <v>3</v>
      </c>
      <c r="AW24">
        <f t="shared" si="6"/>
        <v>2</v>
      </c>
      <c r="AX24">
        <f t="shared" si="9"/>
        <v>4</v>
      </c>
      <c r="AY24" s="29">
        <f t="shared" si="10"/>
        <v>31</v>
      </c>
      <c r="AZ24" s="29">
        <f t="shared" si="11"/>
        <v>28</v>
      </c>
      <c r="BA24" s="30">
        <f t="shared" ca="1" si="12"/>
        <v>10702</v>
      </c>
      <c r="BB24" s="30">
        <f t="shared" ca="1" si="13"/>
        <v>382.21428571428572</v>
      </c>
      <c r="BC24" s="30">
        <f t="shared" ca="1" si="14"/>
        <v>1146.6428571428571</v>
      </c>
      <c r="BD24" s="30">
        <f t="shared" ca="1" si="15"/>
        <v>9555.3571428571431</v>
      </c>
      <c r="BF24" s="34"/>
      <c r="BG24" s="31"/>
      <c r="BH24" s="31"/>
      <c r="BI24" s="31"/>
      <c r="BJ24" s="31"/>
    </row>
    <row r="25" spans="1:62" x14ac:dyDescent="0.3">
      <c r="C25" s="31"/>
      <c r="D25" s="31"/>
      <c r="E25" s="32"/>
      <c r="F25" s="8">
        <v>17</v>
      </c>
      <c r="G25" s="9">
        <v>1017</v>
      </c>
      <c r="H25" s="15" t="s">
        <v>19</v>
      </c>
      <c r="I25" s="17">
        <f t="shared" si="7"/>
        <v>4</v>
      </c>
      <c r="J25" s="18" t="s">
        <v>39</v>
      </c>
      <c r="K25" s="18" t="s">
        <v>38</v>
      </c>
      <c r="L25" s="18" t="s">
        <v>38</v>
      </c>
      <c r="M25" s="18" t="s">
        <v>38</v>
      </c>
      <c r="N25" s="18" t="s">
        <v>38</v>
      </c>
      <c r="O25" s="18" t="s">
        <v>38</v>
      </c>
      <c r="P25" s="18" t="str">
        <f t="shared" si="17"/>
        <v>WO</v>
      </c>
      <c r="Q25" s="18" t="s">
        <v>39</v>
      </c>
      <c r="R25" s="18" t="s">
        <v>38</v>
      </c>
      <c r="S25" s="18" t="s">
        <v>38</v>
      </c>
      <c r="T25" s="18" t="s">
        <v>38</v>
      </c>
      <c r="U25" s="18" t="s">
        <v>38</v>
      </c>
      <c r="V25" s="18" t="s">
        <v>38</v>
      </c>
      <c r="W25" s="18" t="str">
        <f t="shared" si="17"/>
        <v>WO</v>
      </c>
      <c r="X25" s="18" t="s">
        <v>39</v>
      </c>
      <c r="Y25" s="18" t="s">
        <v>38</v>
      </c>
      <c r="Z25" s="18" t="s">
        <v>40</v>
      </c>
      <c r="AA25" s="18" t="s">
        <v>38</v>
      </c>
      <c r="AB25" s="18" t="s">
        <v>38</v>
      </c>
      <c r="AC25" s="18" t="s">
        <v>38</v>
      </c>
      <c r="AD25" s="18" t="str">
        <f t="shared" si="16"/>
        <v>WO</v>
      </c>
      <c r="AE25" s="18" t="s">
        <v>39</v>
      </c>
      <c r="AF25" s="18" t="s">
        <v>38</v>
      </c>
      <c r="AG25" s="18" t="s">
        <v>38</v>
      </c>
      <c r="AH25" s="18" t="s">
        <v>40</v>
      </c>
      <c r="AI25" s="18" t="s">
        <v>38</v>
      </c>
      <c r="AJ25" s="18" t="s">
        <v>38</v>
      </c>
      <c r="AK25" s="18" t="str">
        <f t="shared" si="16"/>
        <v>WO</v>
      </c>
      <c r="AL25" s="18" t="s">
        <v>38</v>
      </c>
      <c r="AM25" s="18" t="s">
        <v>38</v>
      </c>
      <c r="AN25" s="19" t="s">
        <v>38</v>
      </c>
      <c r="AO25" s="32"/>
      <c r="AP25" s="34"/>
      <c r="AQ25" s="9">
        <v>17</v>
      </c>
      <c r="AR25" s="9">
        <v>1017</v>
      </c>
      <c r="AS25" s="9" t="str">
        <f t="shared" si="8"/>
        <v>December</v>
      </c>
      <c r="AT25" s="15" t="s">
        <v>19</v>
      </c>
      <c r="AU25" s="28">
        <f t="shared" si="4"/>
        <v>21</v>
      </c>
      <c r="AV25">
        <f t="shared" si="5"/>
        <v>4</v>
      </c>
      <c r="AW25">
        <f t="shared" si="6"/>
        <v>2</v>
      </c>
      <c r="AX25">
        <f t="shared" si="9"/>
        <v>4</v>
      </c>
      <c r="AY25" s="29">
        <f t="shared" si="10"/>
        <v>31</v>
      </c>
      <c r="AZ25" s="29">
        <f t="shared" si="11"/>
        <v>27</v>
      </c>
      <c r="BA25" s="30">
        <f t="shared" ca="1" si="12"/>
        <v>29518</v>
      </c>
      <c r="BB25" s="30">
        <f t="shared" ca="1" si="13"/>
        <v>1093.2592592592594</v>
      </c>
      <c r="BC25" s="30">
        <f t="shared" ca="1" si="14"/>
        <v>4373.0370370370374</v>
      </c>
      <c r="BD25" s="30">
        <f t="shared" ca="1" si="15"/>
        <v>25144.962962962964</v>
      </c>
      <c r="BF25" s="34"/>
      <c r="BG25" s="31"/>
      <c r="BH25" s="31"/>
      <c r="BI25" s="31"/>
      <c r="BJ25" s="31"/>
    </row>
    <row r="26" spans="1:62" x14ac:dyDescent="0.3">
      <c r="C26" s="31"/>
      <c r="D26" s="31"/>
      <c r="E26" s="32"/>
      <c r="F26" s="8">
        <v>18</v>
      </c>
      <c r="G26" s="9">
        <v>1018</v>
      </c>
      <c r="H26" s="15" t="s">
        <v>22</v>
      </c>
      <c r="I26" s="17">
        <f t="shared" si="7"/>
        <v>4</v>
      </c>
      <c r="J26" s="18" t="s">
        <v>38</v>
      </c>
      <c r="K26" s="18" t="s">
        <v>38</v>
      </c>
      <c r="L26" s="18" t="s">
        <v>38</v>
      </c>
      <c r="M26" s="18" t="s">
        <v>38</v>
      </c>
      <c r="N26" s="18" t="s">
        <v>38</v>
      </c>
      <c r="O26" s="18" t="s">
        <v>38</v>
      </c>
      <c r="P26" s="18" t="str">
        <f t="shared" si="17"/>
        <v>WO</v>
      </c>
      <c r="Q26" s="18" t="s">
        <v>38</v>
      </c>
      <c r="R26" s="18" t="s">
        <v>38</v>
      </c>
      <c r="S26" s="18" t="s">
        <v>38</v>
      </c>
      <c r="T26" s="18" t="s">
        <v>38</v>
      </c>
      <c r="U26" s="18" t="s">
        <v>38</v>
      </c>
      <c r="V26" s="18" t="s">
        <v>38</v>
      </c>
      <c r="W26" s="18" t="str">
        <f t="shared" si="17"/>
        <v>WO</v>
      </c>
      <c r="X26" s="18" t="s">
        <v>38</v>
      </c>
      <c r="Y26" s="18" t="s">
        <v>38</v>
      </c>
      <c r="Z26" s="18" t="s">
        <v>40</v>
      </c>
      <c r="AA26" s="18" t="s">
        <v>38</v>
      </c>
      <c r="AB26" s="18" t="s">
        <v>38</v>
      </c>
      <c r="AC26" s="18" t="s">
        <v>38</v>
      </c>
      <c r="AD26" s="18" t="str">
        <f t="shared" si="16"/>
        <v>WO</v>
      </c>
      <c r="AE26" s="18" t="s">
        <v>38</v>
      </c>
      <c r="AF26" s="18" t="s">
        <v>38</v>
      </c>
      <c r="AG26" s="18" t="s">
        <v>38</v>
      </c>
      <c r="AH26" s="18" t="s">
        <v>40</v>
      </c>
      <c r="AI26" s="18" t="s">
        <v>38</v>
      </c>
      <c r="AJ26" s="18" t="s">
        <v>38</v>
      </c>
      <c r="AK26" s="18" t="str">
        <f t="shared" si="16"/>
        <v>WO</v>
      </c>
      <c r="AL26" s="18" t="s">
        <v>38</v>
      </c>
      <c r="AM26" s="18" t="s">
        <v>38</v>
      </c>
      <c r="AN26" s="19" t="s">
        <v>38</v>
      </c>
      <c r="AO26" s="32"/>
      <c r="AP26" s="34"/>
      <c r="AQ26" s="9">
        <v>18</v>
      </c>
      <c r="AR26" s="9">
        <v>1018</v>
      </c>
      <c r="AS26" s="9" t="str">
        <f t="shared" si="8"/>
        <v>December</v>
      </c>
      <c r="AT26" s="15" t="s">
        <v>22</v>
      </c>
      <c r="AU26" s="28">
        <f t="shared" si="4"/>
        <v>25</v>
      </c>
      <c r="AV26">
        <f t="shared" si="5"/>
        <v>0</v>
      </c>
      <c r="AW26">
        <f t="shared" si="6"/>
        <v>2</v>
      </c>
      <c r="AX26">
        <f t="shared" si="9"/>
        <v>4</v>
      </c>
      <c r="AY26" s="29">
        <f t="shared" si="10"/>
        <v>31</v>
      </c>
      <c r="AZ26" s="29">
        <f t="shared" si="11"/>
        <v>31</v>
      </c>
      <c r="BA26" s="30">
        <f t="shared" ca="1" si="12"/>
        <v>48643</v>
      </c>
      <c r="BB26" s="30">
        <f t="shared" ca="1" si="13"/>
        <v>1569.1290322580646</v>
      </c>
      <c r="BC26" s="30">
        <f t="shared" ca="1" si="14"/>
        <v>0</v>
      </c>
      <c r="BD26" s="30">
        <f t="shared" ca="1" si="15"/>
        <v>48643</v>
      </c>
      <c r="BF26" s="34"/>
      <c r="BG26" s="31"/>
      <c r="BH26" s="31"/>
      <c r="BI26" s="31"/>
      <c r="BJ26" s="31"/>
    </row>
    <row r="27" spans="1:62" x14ac:dyDescent="0.3">
      <c r="C27" s="31"/>
      <c r="D27" s="31"/>
      <c r="E27" s="32"/>
      <c r="F27" s="8">
        <v>19</v>
      </c>
      <c r="G27" s="9">
        <v>1019</v>
      </c>
      <c r="H27" s="15" t="s">
        <v>20</v>
      </c>
      <c r="I27" s="17">
        <f t="shared" si="7"/>
        <v>4</v>
      </c>
      <c r="J27" s="18" t="s">
        <v>38</v>
      </c>
      <c r="K27" s="18" t="s">
        <v>39</v>
      </c>
      <c r="L27" s="18" t="s">
        <v>38</v>
      </c>
      <c r="M27" s="18" t="s">
        <v>38</v>
      </c>
      <c r="N27" s="18" t="s">
        <v>38</v>
      </c>
      <c r="O27" s="18" t="s">
        <v>38</v>
      </c>
      <c r="P27" s="18" t="str">
        <f t="shared" si="17"/>
        <v>WO</v>
      </c>
      <c r="Q27" s="18" t="s">
        <v>38</v>
      </c>
      <c r="R27" s="18" t="s">
        <v>39</v>
      </c>
      <c r="S27" s="18" t="s">
        <v>38</v>
      </c>
      <c r="T27" s="18" t="s">
        <v>38</v>
      </c>
      <c r="U27" s="18" t="s">
        <v>38</v>
      </c>
      <c r="V27" s="18" t="s">
        <v>38</v>
      </c>
      <c r="W27" s="18" t="str">
        <f t="shared" si="17"/>
        <v>WO</v>
      </c>
      <c r="X27" s="18" t="s">
        <v>38</v>
      </c>
      <c r="Y27" s="18" t="s">
        <v>39</v>
      </c>
      <c r="Z27" s="18" t="s">
        <v>40</v>
      </c>
      <c r="AA27" s="18" t="s">
        <v>38</v>
      </c>
      <c r="AB27" s="18" t="s">
        <v>38</v>
      </c>
      <c r="AC27" s="18" t="s">
        <v>38</v>
      </c>
      <c r="AD27" s="18" t="str">
        <f t="shared" si="16"/>
        <v>WO</v>
      </c>
      <c r="AE27" s="18" t="s">
        <v>38</v>
      </c>
      <c r="AF27" s="18" t="s">
        <v>39</v>
      </c>
      <c r="AG27" s="18" t="s">
        <v>38</v>
      </c>
      <c r="AH27" s="18" t="s">
        <v>40</v>
      </c>
      <c r="AI27" s="18" t="s">
        <v>38</v>
      </c>
      <c r="AJ27" s="18" t="s">
        <v>38</v>
      </c>
      <c r="AK27" s="18" t="str">
        <f t="shared" si="16"/>
        <v>WO</v>
      </c>
      <c r="AL27" s="18" t="s">
        <v>38</v>
      </c>
      <c r="AM27" s="18" t="s">
        <v>38</v>
      </c>
      <c r="AN27" s="19" t="s">
        <v>38</v>
      </c>
      <c r="AO27" s="32"/>
      <c r="AP27" s="34"/>
      <c r="AQ27" s="9">
        <v>19</v>
      </c>
      <c r="AR27" s="9">
        <v>1019</v>
      </c>
      <c r="AS27" s="9" t="str">
        <f t="shared" si="8"/>
        <v>December</v>
      </c>
      <c r="AT27" s="15" t="s">
        <v>20</v>
      </c>
      <c r="AU27" s="28">
        <f t="shared" si="4"/>
        <v>21</v>
      </c>
      <c r="AV27">
        <f t="shared" si="5"/>
        <v>4</v>
      </c>
      <c r="AW27">
        <f t="shared" si="6"/>
        <v>2</v>
      </c>
      <c r="AX27">
        <f t="shared" si="9"/>
        <v>4</v>
      </c>
      <c r="AY27" s="29">
        <f t="shared" si="10"/>
        <v>31</v>
      </c>
      <c r="AZ27" s="29">
        <f t="shared" si="11"/>
        <v>27</v>
      </c>
      <c r="BA27" s="30">
        <f t="shared" ca="1" si="12"/>
        <v>13561</v>
      </c>
      <c r="BB27" s="30">
        <f t="shared" ca="1" si="13"/>
        <v>502.25925925925924</v>
      </c>
      <c r="BC27" s="30">
        <f t="shared" ca="1" si="14"/>
        <v>2009.037037037037</v>
      </c>
      <c r="BD27" s="30">
        <f t="shared" ca="1" si="15"/>
        <v>11551.962962962964</v>
      </c>
      <c r="BF27" s="34"/>
      <c r="BG27" s="31"/>
      <c r="BH27" s="31"/>
      <c r="BI27" s="31"/>
      <c r="BJ27" s="31"/>
    </row>
    <row r="28" spans="1:62" ht="15" thickBot="1" x14ac:dyDescent="0.35">
      <c r="C28" s="31"/>
      <c r="D28" s="31"/>
      <c r="E28" s="32"/>
      <c r="F28" s="10">
        <v>20</v>
      </c>
      <c r="G28" s="11">
        <v>1020</v>
      </c>
      <c r="H28" s="16" t="s">
        <v>21</v>
      </c>
      <c r="I28" s="20">
        <f t="shared" si="7"/>
        <v>4</v>
      </c>
      <c r="J28" s="21" t="s">
        <v>38</v>
      </c>
      <c r="K28" s="21" t="s">
        <v>38</v>
      </c>
      <c r="L28" s="21" t="s">
        <v>38</v>
      </c>
      <c r="M28" s="21" t="s">
        <v>38</v>
      </c>
      <c r="N28" s="21" t="s">
        <v>39</v>
      </c>
      <c r="O28" s="21" t="s">
        <v>38</v>
      </c>
      <c r="P28" s="21" t="str">
        <f t="shared" si="17"/>
        <v>WO</v>
      </c>
      <c r="Q28" s="21" t="s">
        <v>38</v>
      </c>
      <c r="R28" s="21" t="s">
        <v>38</v>
      </c>
      <c r="S28" s="21" t="s">
        <v>38</v>
      </c>
      <c r="T28" s="21" t="s">
        <v>38</v>
      </c>
      <c r="U28" s="21" t="s">
        <v>38</v>
      </c>
      <c r="V28" s="21" t="s">
        <v>38</v>
      </c>
      <c r="W28" s="21" t="str">
        <f t="shared" si="17"/>
        <v>WO</v>
      </c>
      <c r="X28" s="21" t="s">
        <v>38</v>
      </c>
      <c r="Y28" s="21" t="s">
        <v>38</v>
      </c>
      <c r="Z28" s="21" t="s">
        <v>40</v>
      </c>
      <c r="AA28" s="21" t="s">
        <v>38</v>
      </c>
      <c r="AB28" s="21" t="s">
        <v>39</v>
      </c>
      <c r="AC28" s="21" t="s">
        <v>38</v>
      </c>
      <c r="AD28" s="21" t="str">
        <f t="shared" si="16"/>
        <v>WO</v>
      </c>
      <c r="AE28" s="21" t="s">
        <v>38</v>
      </c>
      <c r="AF28" s="21" t="s">
        <v>38</v>
      </c>
      <c r="AG28" s="21" t="s">
        <v>38</v>
      </c>
      <c r="AH28" s="21" t="s">
        <v>40</v>
      </c>
      <c r="AI28" s="21" t="s">
        <v>38</v>
      </c>
      <c r="AJ28" s="21" t="s">
        <v>39</v>
      </c>
      <c r="AK28" s="21" t="str">
        <f t="shared" si="16"/>
        <v>WO</v>
      </c>
      <c r="AL28" s="21" t="s">
        <v>38</v>
      </c>
      <c r="AM28" s="21" t="s">
        <v>39</v>
      </c>
      <c r="AN28" s="22" t="s">
        <v>38</v>
      </c>
      <c r="AO28" s="32"/>
      <c r="AP28" s="34"/>
      <c r="AQ28" s="9">
        <v>20</v>
      </c>
      <c r="AR28" s="9">
        <v>1020</v>
      </c>
      <c r="AS28" s="9" t="str">
        <f t="shared" si="8"/>
        <v>December</v>
      </c>
      <c r="AT28" s="15" t="s">
        <v>21</v>
      </c>
      <c r="AU28" s="28">
        <f t="shared" si="4"/>
        <v>21</v>
      </c>
      <c r="AV28">
        <f t="shared" si="5"/>
        <v>4</v>
      </c>
      <c r="AW28">
        <f t="shared" si="6"/>
        <v>2</v>
      </c>
      <c r="AX28">
        <f t="shared" si="9"/>
        <v>4</v>
      </c>
      <c r="AY28" s="29">
        <f t="shared" si="10"/>
        <v>31</v>
      </c>
      <c r="AZ28" s="29">
        <f t="shared" si="11"/>
        <v>27</v>
      </c>
      <c r="BA28" s="30">
        <f t="shared" ca="1" si="12"/>
        <v>45697</v>
      </c>
      <c r="BB28" s="30">
        <f t="shared" ca="1" si="13"/>
        <v>1692.4814814814815</v>
      </c>
      <c r="BC28" s="30">
        <f t="shared" ca="1" si="14"/>
        <v>6769.9259259259261</v>
      </c>
      <c r="BD28" s="30">
        <f t="shared" ca="1" si="15"/>
        <v>38927.074074074073</v>
      </c>
      <c r="BF28" s="34"/>
      <c r="BG28" s="31"/>
      <c r="BH28" s="31"/>
      <c r="BI28" s="31"/>
      <c r="BJ28" s="31"/>
    </row>
    <row r="29" spans="1:62" x14ac:dyDescent="0.3">
      <c r="A29" s="31"/>
      <c r="B29" s="31"/>
      <c r="C29" s="31"/>
      <c r="D29" s="31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 t="s">
        <v>38</v>
      </c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1"/>
      <c r="BH29" s="31"/>
      <c r="BI29" s="31"/>
      <c r="BJ29" s="31"/>
    </row>
    <row r="30" spans="1:62" x14ac:dyDescent="0.3">
      <c r="A30" s="31"/>
      <c r="B30" s="31"/>
      <c r="C30" s="31"/>
      <c r="D30" s="31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1"/>
      <c r="BH30" s="31"/>
      <c r="BI30" s="31"/>
      <c r="BJ30" s="31"/>
    </row>
    <row r="31" spans="1:62" x14ac:dyDescent="0.3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</row>
    <row r="32" spans="1:62" x14ac:dyDescent="0.3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</row>
    <row r="33" spans="1:62" x14ac:dyDescent="0.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</row>
    <row r="34" spans="1:62" x14ac:dyDescent="0.3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</row>
    <row r="35" spans="1:62" x14ac:dyDescent="0.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</row>
    <row r="36" spans="1:62" x14ac:dyDescent="0.3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</row>
    <row r="37" spans="1:62" x14ac:dyDescent="0.3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</row>
    <row r="38" spans="1:62" x14ac:dyDescent="0.3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</row>
    <row r="39" spans="1:62" x14ac:dyDescent="0.3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</row>
    <row r="40" spans="1:62" x14ac:dyDescent="0.3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</row>
    <row r="41" spans="1:62" x14ac:dyDescent="0.3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</row>
    <row r="42" spans="1:62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</row>
    <row r="43" spans="1:62" x14ac:dyDescent="0.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</row>
    <row r="44" spans="1:62" x14ac:dyDescent="0.3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</row>
    <row r="45" spans="1:62" x14ac:dyDescent="0.3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</row>
    <row r="46" spans="1:62" x14ac:dyDescent="0.3">
      <c r="AO46" s="31"/>
      <c r="AP46" s="31"/>
      <c r="BF46" s="31"/>
      <c r="BG46" s="31"/>
      <c r="BH46" s="31"/>
      <c r="BI46" s="31"/>
      <c r="BJ46" s="31"/>
    </row>
    <row r="47" spans="1:62" x14ac:dyDescent="0.3">
      <c r="AO47" s="31"/>
      <c r="AP47" s="31"/>
      <c r="BF47" s="31"/>
      <c r="BG47" s="31"/>
      <c r="BH47" s="31"/>
      <c r="BI47" s="31"/>
      <c r="BJ47" s="31"/>
    </row>
    <row r="48" spans="1:62" x14ac:dyDescent="0.3">
      <c r="AO48" s="31"/>
      <c r="AP48" s="31"/>
      <c r="BF48" s="31"/>
      <c r="BG48" s="31"/>
      <c r="BH48" s="31"/>
      <c r="BI48" s="31"/>
      <c r="BJ48" s="31"/>
    </row>
    <row r="49" spans="41:62" x14ac:dyDescent="0.3">
      <c r="AO49" s="31"/>
      <c r="AP49" s="31"/>
      <c r="BF49" s="31"/>
      <c r="BG49" s="31"/>
      <c r="BH49" s="31"/>
      <c r="BI49" s="31"/>
      <c r="BJ49" s="31"/>
    </row>
  </sheetData>
  <conditionalFormatting sqref="J9:O28">
    <cfRule type="containsText" dxfId="32" priority="37" operator="containsText" text="L">
      <formula>NOT(ISERROR(SEARCH("L",J9)))</formula>
    </cfRule>
    <cfRule type="containsText" dxfId="31" priority="40" operator="containsText" text="WO">
      <formula>NOT(ISERROR(SEARCH("WO",J9)))</formula>
    </cfRule>
    <cfRule type="containsText" dxfId="30" priority="39" operator="containsText" text="P">
      <formula>NOT(ISERROR(SEARCH("P",J9)))</formula>
    </cfRule>
    <cfRule type="containsText" dxfId="29" priority="38" operator="containsText" text="A">
      <formula>NOT(ISERROR(SEARCH("A",J9)))</formula>
    </cfRule>
  </conditionalFormatting>
  <conditionalFormatting sqref="P9:P28 W9:W28 AD9:AD28 AK9:AK28">
    <cfRule type="containsText" dxfId="28" priority="78" operator="containsText" text="L">
      <formula>NOT(ISERROR(SEARCH("L",P9)))</formula>
    </cfRule>
    <cfRule type="containsText" dxfId="27" priority="79" operator="containsText" text="A">
      <formula>NOT(ISERROR(SEARCH("A",P9)))</formula>
    </cfRule>
    <cfRule type="containsText" dxfId="26" priority="80" operator="containsText" text="P">
      <formula>NOT(ISERROR(SEARCH("P",P9)))</formula>
    </cfRule>
    <cfRule type="containsText" dxfId="25" priority="81" operator="containsText" text="WO">
      <formula>NOT(ISERROR(SEARCH("WO",P9)))</formula>
    </cfRule>
    <cfRule type="containsText" dxfId="24" priority="61" operator="containsText" text="L">
      <formula>NOT(ISERROR(SEARCH("L",P9)))</formula>
    </cfRule>
    <cfRule type="containsText" dxfId="23" priority="62" operator="containsText" text="A">
      <formula>NOT(ISERROR(SEARCH("A",P9)))</formula>
    </cfRule>
    <cfRule type="containsText" dxfId="22" priority="63" operator="containsText" text="P">
      <formula>NOT(ISERROR(SEARCH("P",P9)))</formula>
    </cfRule>
    <cfRule type="containsText" dxfId="21" priority="73" operator="containsText" text="A">
      <formula>NOT(ISERROR(SEARCH("A",P9)))</formula>
    </cfRule>
    <cfRule type="containsText" dxfId="20" priority="77" operator="containsText" text="P">
      <formula>NOT(ISERROR(SEARCH("P",P9)))</formula>
    </cfRule>
  </conditionalFormatting>
  <conditionalFormatting sqref="P9:P28">
    <cfRule type="containsText" dxfId="19" priority="72" operator="containsText" text="P">
      <formula>NOT(ISERROR(SEARCH("P",P9)))</formula>
    </cfRule>
  </conditionalFormatting>
  <conditionalFormatting sqref="Q9:V28">
    <cfRule type="containsText" dxfId="18" priority="29" operator="containsText" text="L">
      <formula>NOT(ISERROR(SEARCH("L",Q9)))</formula>
    </cfRule>
    <cfRule type="containsText" dxfId="17" priority="32" operator="containsText" text="WO">
      <formula>NOT(ISERROR(SEARCH("WO",Q9)))</formula>
    </cfRule>
    <cfRule type="containsText" dxfId="16" priority="31" operator="containsText" text="P">
      <formula>NOT(ISERROR(SEARCH("P",Q9)))</formula>
    </cfRule>
    <cfRule type="containsText" dxfId="15" priority="30" operator="containsText" text="A">
      <formula>NOT(ISERROR(SEARCH("A",Q9)))</formula>
    </cfRule>
  </conditionalFormatting>
  <conditionalFormatting sqref="W9:W28">
    <cfRule type="containsText" dxfId="14" priority="69" operator="containsText" text="P">
      <formula>NOT(ISERROR(SEARCH("P",W9)))</formula>
    </cfRule>
  </conditionalFormatting>
  <conditionalFormatting sqref="X9:AC28">
    <cfRule type="containsText" dxfId="13" priority="21" operator="containsText" text="L">
      <formula>NOT(ISERROR(SEARCH("L",X9)))</formula>
    </cfRule>
    <cfRule type="containsText" dxfId="12" priority="22" operator="containsText" text="A">
      <formula>NOT(ISERROR(SEARCH("A",X9)))</formula>
    </cfRule>
    <cfRule type="containsText" dxfId="11" priority="23" operator="containsText" text="P">
      <formula>NOT(ISERROR(SEARCH("P",X9)))</formula>
    </cfRule>
    <cfRule type="containsText" dxfId="10" priority="24" operator="containsText" text="WO">
      <formula>NOT(ISERROR(SEARCH("WO",X9)))</formula>
    </cfRule>
  </conditionalFormatting>
  <conditionalFormatting sqref="AD9:AD28">
    <cfRule type="containsText" dxfId="9" priority="67" operator="containsText" text="P">
      <formula>NOT(ISERROR(SEARCH("P",AD9)))</formula>
    </cfRule>
  </conditionalFormatting>
  <conditionalFormatting sqref="AE9:AJ28">
    <cfRule type="containsText" dxfId="8" priority="13" operator="containsText" text="L">
      <formula>NOT(ISERROR(SEARCH("L",AE9)))</formula>
    </cfRule>
    <cfRule type="containsText" dxfId="7" priority="14" operator="containsText" text="A">
      <formula>NOT(ISERROR(SEARCH("A",AE9)))</formula>
    </cfRule>
    <cfRule type="containsText" dxfId="6" priority="15" operator="containsText" text="P">
      <formula>NOT(ISERROR(SEARCH("P",AE9)))</formula>
    </cfRule>
    <cfRule type="containsText" dxfId="5" priority="16" operator="containsText" text="WO">
      <formula>NOT(ISERROR(SEARCH("WO",AE9)))</formula>
    </cfRule>
  </conditionalFormatting>
  <conditionalFormatting sqref="AK9:AK28">
    <cfRule type="containsText" dxfId="4" priority="65" operator="containsText" text="P">
      <formula>NOT(ISERROR(SEARCH("P",AK9)))</formula>
    </cfRule>
  </conditionalFormatting>
  <conditionalFormatting sqref="AL9:AN28">
    <cfRule type="containsText" dxfId="3" priority="2" operator="containsText" text="A">
      <formula>NOT(ISERROR(SEARCH("A",AL9)))</formula>
    </cfRule>
    <cfRule type="containsText" dxfId="2" priority="3" operator="containsText" text="P">
      <formula>NOT(ISERROR(SEARCH("P",AL9)))</formula>
    </cfRule>
    <cfRule type="containsText" dxfId="1" priority="4" operator="containsText" text="WO">
      <formula>NOT(ISERROR(SEARCH("WO",AL9)))</formula>
    </cfRule>
    <cfRule type="containsText" dxfId="0" priority="1" operator="containsText" text="L">
      <formula>NOT(ISERROR(SEARCH("L",AL9)))</formula>
    </cfRule>
  </conditionalFormatting>
  <dataValidations count="1">
    <dataValidation type="list" allowBlank="1" showInputMessage="1" showErrorMessage="1" sqref="F7:I28 J7:AN8 J9:O28 Q9:V28 AE9:AJ28 AL9:AN28 X9:AC28" xr:uid="{99C356E3-F417-4DA2-8421-E429A365DD32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E84B403-51D3-477B-9DFA-40A3003B76DE}">
          <x14:formula1>
            <xm:f>Rough!$A$1:$A$12</xm:f>
          </x14:formula1>
          <xm:sqref>G5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6CCA4955-D6AF-43C8-924E-EA603E15591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December!AU9:AX9</xm:f>
              <xm:sqref>BE9</xm:sqref>
            </x14:sparkline>
            <x14:sparkline>
              <xm:f>December!AU10:AX10</xm:f>
              <xm:sqref>BE10</xm:sqref>
            </x14:sparkline>
            <x14:sparkline>
              <xm:f>December!AU11:AX11</xm:f>
              <xm:sqref>BE11</xm:sqref>
            </x14:sparkline>
            <x14:sparkline>
              <xm:f>December!AU12:AX12</xm:f>
              <xm:sqref>BE12</xm:sqref>
            </x14:sparkline>
            <x14:sparkline>
              <xm:f>December!AU13:AX13</xm:f>
              <xm:sqref>BE13</xm:sqref>
            </x14:sparkline>
            <x14:sparkline>
              <xm:f>December!AU14:AX14</xm:f>
              <xm:sqref>BE14</xm:sqref>
            </x14:sparkline>
            <x14:sparkline>
              <xm:f>December!AU15:AX15</xm:f>
              <xm:sqref>BE15</xm:sqref>
            </x14:sparkline>
            <x14:sparkline>
              <xm:f>December!AU16:AX16</xm:f>
              <xm:sqref>BE16</xm:sqref>
            </x14:sparkline>
            <x14:sparkline>
              <xm:f>December!AU17:AX17</xm:f>
              <xm:sqref>BE17</xm:sqref>
            </x14:sparkline>
            <x14:sparkline>
              <xm:f>December!AU18:AX18</xm:f>
              <xm:sqref>BE18</xm:sqref>
            </x14:sparkline>
            <x14:sparkline>
              <xm:f>December!AU19:AX19</xm:f>
              <xm:sqref>BE19</xm:sqref>
            </x14:sparkline>
            <x14:sparkline>
              <xm:f>December!AU20:AX20</xm:f>
              <xm:sqref>BE20</xm:sqref>
            </x14:sparkline>
            <x14:sparkline>
              <xm:f>December!AU21:AX21</xm:f>
              <xm:sqref>BE21</xm:sqref>
            </x14:sparkline>
            <x14:sparkline>
              <xm:f>December!AU22:AX22</xm:f>
              <xm:sqref>BE22</xm:sqref>
            </x14:sparkline>
            <x14:sparkline>
              <xm:f>December!AU23:AX23</xm:f>
              <xm:sqref>BE23</xm:sqref>
            </x14:sparkline>
            <x14:sparkline>
              <xm:f>December!AU24:AX24</xm:f>
              <xm:sqref>BE24</xm:sqref>
            </x14:sparkline>
            <x14:sparkline>
              <xm:f>December!AU25:AX25</xm:f>
              <xm:sqref>BE25</xm:sqref>
            </x14:sparkline>
            <x14:sparkline>
              <xm:f>December!AU26:AX26</xm:f>
              <xm:sqref>BE26</xm:sqref>
            </x14:sparkline>
            <x14:sparkline>
              <xm:f>December!AU27:AX27</xm:f>
              <xm:sqref>BE27</xm:sqref>
            </x14:sparkline>
            <x14:sparkline>
              <xm:f>December!AU28:AX28</xm:f>
              <xm:sqref>BE28</xm:sqref>
            </x14:sparkline>
          </x14:sparklines>
        </x14:sparklineGroup>
      </x14:sparklineGroup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0DE17-DF23-4E81-9E49-D0A366D608FF}">
  <dimension ref="A1:A14"/>
  <sheetViews>
    <sheetView workbookViewId="0"/>
  </sheetViews>
  <sheetFormatPr defaultRowHeight="14.4" x14ac:dyDescent="0.3"/>
  <cols>
    <col min="1" max="1" width="11.88671875" bestFit="1" customWidth="1"/>
  </cols>
  <sheetData>
    <row r="1" spans="1:1" x14ac:dyDescent="0.3">
      <c r="A1" s="4">
        <v>45658</v>
      </c>
    </row>
    <row r="2" spans="1:1" x14ac:dyDescent="0.3">
      <c r="A2" s="4">
        <v>45689</v>
      </c>
    </row>
    <row r="3" spans="1:1" x14ac:dyDescent="0.3">
      <c r="A3" s="4">
        <v>45717</v>
      </c>
    </row>
    <row r="4" spans="1:1" x14ac:dyDescent="0.3">
      <c r="A4" s="4">
        <v>45748</v>
      </c>
    </row>
    <row r="5" spans="1:1" x14ac:dyDescent="0.3">
      <c r="A5" s="4">
        <v>45778</v>
      </c>
    </row>
    <row r="6" spans="1:1" x14ac:dyDescent="0.3">
      <c r="A6" s="4">
        <v>45809</v>
      </c>
    </row>
    <row r="7" spans="1:1" x14ac:dyDescent="0.3">
      <c r="A7" s="4">
        <v>45839</v>
      </c>
    </row>
    <row r="8" spans="1:1" x14ac:dyDescent="0.3">
      <c r="A8" s="4">
        <v>45870</v>
      </c>
    </row>
    <row r="9" spans="1:1" x14ac:dyDescent="0.3">
      <c r="A9" s="4">
        <v>45901</v>
      </c>
    </row>
    <row r="10" spans="1:1" x14ac:dyDescent="0.3">
      <c r="A10" s="4">
        <v>45931</v>
      </c>
    </row>
    <row r="11" spans="1:1" x14ac:dyDescent="0.3">
      <c r="A11" s="4">
        <v>45962</v>
      </c>
    </row>
    <row r="12" spans="1:1" x14ac:dyDescent="0.3">
      <c r="A12" s="4">
        <v>45992</v>
      </c>
    </row>
    <row r="13" spans="1:1" x14ac:dyDescent="0.3">
      <c r="A13" s="3"/>
    </row>
    <row r="14" spans="1:1" x14ac:dyDescent="0.3">
      <c r="A1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Mini Data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Rough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Rajput</dc:creator>
  <cp:lastModifiedBy>Ayush Rajput</cp:lastModifiedBy>
  <dcterms:created xsi:type="dcterms:W3CDTF">2025-09-05T16:00:02Z</dcterms:created>
  <dcterms:modified xsi:type="dcterms:W3CDTF">2026-06-05T10:48:32Z</dcterms:modified>
</cp:coreProperties>
</file>